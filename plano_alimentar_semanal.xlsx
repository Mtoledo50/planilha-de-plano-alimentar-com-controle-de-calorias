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_Listas" sheetId="1" state="hidden" r:id="rId3"/>
    <sheet name="SEG" sheetId="2" state="visible" r:id="rId4"/>
    <sheet name="TER" sheetId="3" state="visible" r:id="rId5"/>
    <sheet name="QUA" sheetId="4" state="visible" r:id="rId6"/>
    <sheet name="QUI" sheetId="5" state="visible" r:id="rId7"/>
    <sheet name="SEX" sheetId="6" state="visible" r:id="rId8"/>
    <sheet name="SAB" sheetId="7" state="visible" r:id="rId9"/>
    <sheet name="DOM" sheetId="8" state="visible" r:id="rId10"/>
    <sheet name="🔄 Substituiçã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<sst xmlns="http://schemas.openxmlformats.org/spreadsheetml/2006/main" count="1020" uniqueCount="190">
  <si>
    <t xml:space="preserve">Alimento</t>
  </si>
  <si>
    <t xml:space="preserve">Kcal/100g</t>
  </si>
  <si>
    <t xml:space="preserve">Prot</t>
  </si>
  <si>
    <t xml:space="preserve">Carb</t>
  </si>
  <si>
    <t xml:space="preserve">Gord</t>
  </si>
  <si>
    <t xml:space="preserve">Fibra</t>
  </si>
  <si>
    <t xml:space="preserve">Abacate</t>
  </si>
  <si>
    <t xml:space="preserve">Abacaxi</t>
  </si>
  <si>
    <t xml:space="preserve">Aipim cozido</t>
  </si>
  <si>
    <t xml:space="preserve">Alcatra grelhada</t>
  </si>
  <si>
    <t xml:space="preserve">Alcatra suína assada</t>
  </si>
  <si>
    <t xml:space="preserve">Alface crespa</t>
  </si>
  <si>
    <t xml:space="preserve">Ameixa</t>
  </si>
  <si>
    <t xml:space="preserve">Arroz branco cozido</t>
  </si>
  <si>
    <t xml:space="preserve">Arroz integral cozido</t>
  </si>
  <si>
    <t xml:space="preserve">Atum enlatado ao natural</t>
  </si>
  <si>
    <t xml:space="preserve">Banana</t>
  </si>
  <si>
    <t xml:space="preserve">Batata doce assada</t>
  </si>
  <si>
    <t xml:space="preserve">Batata inglesa assada</t>
  </si>
  <si>
    <t xml:space="preserve">Batata inglesa cozida</t>
  </si>
  <si>
    <t xml:space="preserve">Bergamota</t>
  </si>
  <si>
    <t xml:space="preserve">Bife contrafilé grelhado</t>
  </si>
  <si>
    <t xml:space="preserve">Bombom Ouro Branco</t>
  </si>
  <si>
    <t xml:space="preserve">Café sem açúcar</t>
  </si>
  <si>
    <t xml:space="preserve">Camarão cozido</t>
  </si>
  <si>
    <t xml:space="preserve">Camarão grelhado</t>
  </si>
  <si>
    <t xml:space="preserve">Caqui</t>
  </si>
  <si>
    <t xml:space="preserve">Caqui chocolate</t>
  </si>
  <si>
    <t xml:space="preserve">Carambola</t>
  </si>
  <si>
    <t xml:space="preserve">Carne bovina patinho grelhado</t>
  </si>
  <si>
    <t xml:space="preserve">Catchup</t>
  </si>
  <si>
    <t xml:space="preserve">Coca-Cola Light</t>
  </si>
  <si>
    <t xml:space="preserve">Creatina monohidratada</t>
  </si>
  <si>
    <t xml:space="preserve">Cuscuz de milho cozido</t>
  </si>
  <si>
    <t xml:space="preserve">Feijão preto cozido</t>
  </si>
  <si>
    <t xml:space="preserve">Filé de frango grelhado</t>
  </si>
  <si>
    <t xml:space="preserve">Fígado bovino</t>
  </si>
  <si>
    <t xml:space="preserve">Goiaba</t>
  </si>
  <si>
    <t xml:space="preserve">Kiwi</t>
  </si>
  <si>
    <t xml:space="preserve">Laranja pera</t>
  </si>
  <si>
    <t xml:space="preserve">Legumes cozidos variados</t>
  </si>
  <si>
    <t xml:space="preserve">Leite de vaca integral</t>
  </si>
  <si>
    <t xml:space="preserve">Lombo suíno assado</t>
  </si>
  <si>
    <t xml:space="preserve">Lombo suíno cozido</t>
  </si>
  <si>
    <t xml:space="preserve">Macarrão cozido</t>
  </si>
  <si>
    <t xml:space="preserve">Macarrão integral cozido</t>
  </si>
  <si>
    <t xml:space="preserve">Mamão papaya</t>
  </si>
  <si>
    <t xml:space="preserve">Manga</t>
  </si>
  <si>
    <t xml:space="preserve">Maçã com casca</t>
  </si>
  <si>
    <t xml:space="preserve">Melancia</t>
  </si>
  <si>
    <t xml:space="preserve">Melão</t>
  </si>
  <si>
    <t xml:space="preserve">Moela de galinha cozida</t>
  </si>
  <si>
    <t xml:space="preserve">Molho de tomate</t>
  </si>
  <si>
    <t xml:space="preserve">Moranga cozida</t>
  </si>
  <si>
    <t xml:space="preserve">Morango</t>
  </si>
  <si>
    <t xml:space="preserve">Ovo de galinha cozido</t>
  </si>
  <si>
    <t xml:space="preserve">Paleta bovina</t>
  </si>
  <si>
    <t xml:space="preserve">Patê de ricota</t>
  </si>
  <si>
    <t xml:space="preserve">Peito de galinha assado</t>
  </si>
  <si>
    <t xml:space="preserve">Peito de galinha cozido</t>
  </si>
  <si>
    <t xml:space="preserve">Peito de peru fatiado</t>
  </si>
  <si>
    <t xml:space="preserve">Peixe assado</t>
  </si>
  <si>
    <t xml:space="preserve">Peixe grelhado</t>
  </si>
  <si>
    <t xml:space="preserve">Pera</t>
  </si>
  <si>
    <t xml:space="preserve">Pernil suíno assado</t>
  </si>
  <si>
    <t xml:space="preserve">Pitaia</t>
  </si>
  <si>
    <t xml:space="preserve">Polenta cozida</t>
  </si>
  <si>
    <t xml:space="preserve">Purê de batata caseiro</t>
  </si>
  <si>
    <t xml:space="preserve">Pão de hambúrguer</t>
  </si>
  <si>
    <t xml:space="preserve">Pão francês</t>
  </si>
  <si>
    <t xml:space="preserve">Pão integral</t>
  </si>
  <si>
    <t xml:space="preserve">Pêssego</t>
  </si>
  <si>
    <t xml:space="preserve">Queijo mussarela</t>
  </si>
  <si>
    <t xml:space="preserve">Requeijão</t>
  </si>
  <si>
    <t xml:space="preserve">Requeijão light</t>
  </si>
  <si>
    <t xml:space="preserve">Salmão cozido/assado</t>
  </si>
  <si>
    <t xml:space="preserve">Sobrecoxa de frango grelhada</t>
  </si>
  <si>
    <t xml:space="preserve">Suco de laranja natural</t>
  </si>
  <si>
    <t xml:space="preserve">Tapioca de goma</t>
  </si>
  <si>
    <t xml:space="preserve">Tomate</t>
  </si>
  <si>
    <t xml:space="preserve">Torrada Magic Toast integral</t>
  </si>
  <si>
    <t xml:space="preserve">Torrada integral Bauducco</t>
  </si>
  <si>
    <t xml:space="preserve">Uva itália</t>
  </si>
  <si>
    <t xml:space="preserve">Whey protein</t>
  </si>
  <si>
    <t xml:space="preserve">Yopro 15g High Protein</t>
  </si>
  <si>
    <t xml:space="preserve">🍽️  PLANO ALIMENTAR  ·  Segunda-feira 🔵  ·  (=Qua e Sex)</t>
  </si>
  <si>
    <t xml:space="preserve">  ▼ Clique na seta ▼ em cada alimento para trocar  ·  Edite a porção (g) para recalcular as calorias automaticamente</t>
  </si>
  <si>
    <t xml:space="preserve">Meta Kcal/dia:</t>
  </si>
  <si>
    <t xml:space="preserve">Peso (kg):</t>
  </si>
  <si>
    <t xml:space="preserve">Objetivo:</t>
  </si>
  <si>
    <t xml:space="preserve">Emagrecimento</t>
  </si>
  <si>
    <t xml:space="preserve">Refeição / Horário</t>
  </si>
  <si>
    <t xml:space="preserve">Alimento  ▼</t>
  </si>
  <si>
    <t xml:space="preserve">Porção
(g)</t>
  </si>
  <si>
    <t xml:space="preserve">Kcal</t>
  </si>
  <si>
    <t xml:space="preserve">Prot.
(g)</t>
  </si>
  <si>
    <t xml:space="preserve">Carb.
(g)</t>
  </si>
  <si>
    <t xml:space="preserve">Gord.
(g)</t>
  </si>
  <si>
    <t xml:space="preserve">Medida caseira</t>
  </si>
  <si>
    <t xml:space="preserve">  ☕ Café da Manhã  08:00h</t>
  </si>
  <si>
    <t xml:space="preserve">☕ Café da Manhã</t>
  </si>
  <si>
    <t xml:space="preserve">200 ml</t>
  </si>
  <si>
    <t xml:space="preserve">1 unidade</t>
  </si>
  <si>
    <t xml:space="preserve">1 col. sopa</t>
  </si>
  <si>
    <t xml:space="preserve">1 fatia</t>
  </si>
  <si>
    <t xml:space="preserve">½ unidade méd.</t>
  </si>
  <si>
    <t xml:space="preserve">2 doses</t>
  </si>
  <si>
    <t xml:space="preserve">Subtotal ☕ Café da Manhã</t>
  </si>
  <si>
    <t xml:space="preserve">  🍌 Lanche  10:00h</t>
  </si>
  <si>
    <t xml:space="preserve">🍌 Lanche</t>
  </si>
  <si>
    <t xml:space="preserve">Subtotal 🍌 Lanche</t>
  </si>
  <si>
    <t xml:space="preserve">  🥗 Almoço  13:00h</t>
  </si>
  <si>
    <t xml:space="preserve">🥗 Almoço</t>
  </si>
  <si>
    <t xml:space="preserve">1 unid. média</t>
  </si>
  <si>
    <t xml:space="preserve">1 concha</t>
  </si>
  <si>
    <t xml:space="preserve">1 porção</t>
  </si>
  <si>
    <t xml:space="preserve">1 peça s/ osso</t>
  </si>
  <si>
    <t xml:space="preserve">Subtotal 🥗 Almoço</t>
  </si>
  <si>
    <t xml:space="preserve">  ☕ Café da Tarde  18:00h</t>
  </si>
  <si>
    <t xml:space="preserve">☕ Café da Tarde</t>
  </si>
  <si>
    <t xml:space="preserve">½ filé pequeno</t>
  </si>
  <si>
    <t xml:space="preserve">Subtotal ☕ Café da Tarde</t>
  </si>
  <si>
    <t xml:space="preserve">  🌙 Jantar  20:30h</t>
  </si>
  <si>
    <t xml:space="preserve">🌙 Jantar</t>
  </si>
  <si>
    <t xml:space="preserve">4 col. sopa</t>
  </si>
  <si>
    <t xml:space="preserve">1 filé médio</t>
  </si>
  <si>
    <t xml:space="preserve">Subtotal 🌙 Jantar</t>
  </si>
  <si>
    <t xml:space="preserve">  🔄 Opção Jantar  (alternativa)</t>
  </si>
  <si>
    <t xml:space="preserve">🔄 Opção Jantar</t>
  </si>
  <si>
    <t xml:space="preserve">1 copo</t>
  </si>
  <si>
    <t xml:space="preserve">1 tapioca peq.</t>
  </si>
  <si>
    <t xml:space="preserve">2 unidades</t>
  </si>
  <si>
    <t xml:space="preserve">1 filé pequeno</t>
  </si>
  <si>
    <t xml:space="preserve">📊 TOTAL DO DIA</t>
  </si>
  <si>
    <t xml:space="preserve">🎯 Status calórico:</t>
  </si>
  <si>
    <t xml:space="preserve">  📊 RESUMO POR REFEIÇÃO</t>
  </si>
  <si>
    <t xml:space="preserve">Refeição</t>
  </si>
  <si>
    <t xml:space="preserve">% do total</t>
  </si>
  <si>
    <t xml:space="preserve">Prot.</t>
  </si>
  <si>
    <t xml:space="preserve">Carb.</t>
  </si>
  <si>
    <t xml:space="preserve">Gord.</t>
  </si>
  <si>
    <t xml:space="preserve">Horário</t>
  </si>
  <si>
    <t xml:space="preserve">08:00h</t>
  </si>
  <si>
    <t xml:space="preserve">10:00h</t>
  </si>
  <si>
    <t xml:space="preserve">13:00h</t>
  </si>
  <si>
    <t xml:space="preserve">18:00h</t>
  </si>
  <si>
    <t xml:space="preserve">20:30h</t>
  </si>
  <si>
    <t xml:space="preserve">🍽️  PLANO ALIMENTAR  ·  Terça-feira 🟢  ·  (=Qui e Sab)</t>
  </si>
  <si>
    <t xml:space="preserve">2 col. sopa</t>
  </si>
  <si>
    <t xml:space="preserve">1 filé grande</t>
  </si>
  <si>
    <t xml:space="preserve">1 unidade grande</t>
  </si>
  <si>
    <t xml:space="preserve">  🔄 Opção Almoço  (alternativa)</t>
  </si>
  <si>
    <t xml:space="preserve">🔄 Opção Almoço</t>
  </si>
  <si>
    <t xml:space="preserve">1 filé</t>
  </si>
  <si>
    <t xml:space="preserve">2 porções</t>
  </si>
  <si>
    <t xml:space="preserve">½ unidade</t>
  </si>
  <si>
    <t xml:space="preserve">2 scoops</t>
  </si>
  <si>
    <t xml:space="preserve">1 lata</t>
  </si>
  <si>
    <t xml:space="preserve">1 bife médio</t>
  </si>
  <si>
    <t xml:space="preserve">2 folhas</t>
  </si>
  <si>
    <t xml:space="preserve">1 rodela</t>
  </si>
  <si>
    <t xml:space="preserve">2 col. sobremesa</t>
  </si>
  <si>
    <t xml:space="preserve">1 bife</t>
  </si>
  <si>
    <t xml:space="preserve">🍽️  PLANO ALIMENTAR  ·  Quarta-feira 🔵  ·  (=Seg e Sex)</t>
  </si>
  <si>
    <t xml:space="preserve">🍽️  PLANO ALIMENTAR  ·  Quinta-feira 🟢  ·  (=Ter e Sab)</t>
  </si>
  <si>
    <t xml:space="preserve">🍽️  PLANO ALIMENTAR  ·  Sexta-feira 🔵  ·  (=Seg e Qua)</t>
  </si>
  <si>
    <t xml:space="preserve">🍽️  PLANO ALIMENTAR  ·  Sábado 🟢  ·  (=Ter e Qui)</t>
  </si>
  <si>
    <t xml:space="preserve">🍽️  PLANO ALIMENTAR  ·  Domingo 🔴  ·  (Cardápio especial)</t>
  </si>
  <si>
    <t xml:space="preserve">2 fatias</t>
  </si>
  <si>
    <t xml:space="preserve">4+ col. sopa</t>
  </si>
  <si>
    <t xml:space="preserve">1 concha grande</t>
  </si>
  <si>
    <t xml:space="preserve">1 peça</t>
  </si>
  <si>
    <t xml:space="preserve">1 fatia grande</t>
  </si>
  <si>
    <t xml:space="preserve">🔄  TABELA DE SUBSTITUIÇÃO DE ALIMENTOS — Valores por 100g  (Fonte: TACO/IBGE)</t>
  </si>
  <si>
    <t xml:space="preserve">  Compare alimentos da mesma categoria. Use a CALCULADORA abaixo para ver as calorias de qualquer porção antes de substituir.</t>
  </si>
  <si>
    <t xml:space="preserve">  🧮 CALCULADORA DE SUBSTITUIÇÃO — Compare dois alimentos em qualquer porção</t>
  </si>
  <si>
    <t xml:space="preserve">Alimento A (original):</t>
  </si>
  <si>
    <t xml:space="preserve">▼ escolha</t>
  </si>
  <si>
    <t xml:space="preserve">(g)</t>
  </si>
  <si>
    <t xml:space="preserve">Alimento B (substituto):</t>
  </si>
  <si>
    <t xml:space="preserve">  Diferença calórica A → B:</t>
  </si>
  <si>
    <t xml:space="preserve">  🌾 Carboidratos  (Almoço / Jantar)</t>
  </si>
  <si>
    <t xml:space="preserve">Kcal
/100g</t>
  </si>
  <si>
    <t xml:space="preserve">Fibra
(g)</t>
  </si>
  <si>
    <t xml:space="preserve">Kcal p/ porção →</t>
  </si>
  <si>
    <t xml:space="preserve">  Digite a porção desejada (g) →</t>
  </si>
  <si>
    <t xml:space="preserve">← edite a porção</t>
  </si>
  <si>
    <t xml:space="preserve">  🍎 Frutas</t>
  </si>
  <si>
    <t xml:space="preserve">  🍞 Pães e Torradas</t>
  </si>
  <si>
    <t xml:space="preserve">  🥩 Proteínas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</si>
</sst>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%"/>
    <numFmt numFmtId="167" formatCode="0&quot; g&quot;"/>
    <numFmt numFmtId="168" formatCode="0.0&quot; kcal&quot;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8"/>
      <color rgb="FF546E7A"/>
      <name val="Calibri"/>
      <family val="0"/>
      <charset val="1"/>
    </font>
    <font>
      <sz val="9"/>
      <color rgb="FF546E7A"/>
      <name val="Calibri"/>
      <family val="0"/>
      <charset val="1"/>
    </font>
    <font>
      <b val="true"/>
      <sz val="9"/>
      <color rgb="FF0D47A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8"/>
      <color rgb="FFFFFFFF"/>
      <name val="Calibri"/>
      <family val="0"/>
      <charset val="1"/>
    </font>
    <font>
      <b val="true"/>
      <sz val="10"/>
      <color rgb="FF0D47A1"/>
      <name val="Calibri"/>
      <family val="0"/>
      <charset val="1"/>
    </font>
    <font>
      <sz val="10"/>
      <color rgb="FF212121"/>
      <name val="Calibri"/>
      <family val="0"/>
      <charset val="1"/>
    </font>
    <font>
      <i val="true"/>
      <sz val="8"/>
      <color rgb="FF607D8B"/>
      <name val="Calibri"/>
      <family val="0"/>
      <charset val="1"/>
    </font>
    <font>
      <sz val="8"/>
      <color rgb="FFBDBDBD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212121"/>
      <name val="Calibri"/>
      <family val="0"/>
      <charset val="1"/>
    </font>
    <font>
      <b val="true"/>
      <sz val="10"/>
      <color rgb="FF212121"/>
      <name val="Calibri"/>
      <family val="0"/>
      <charset val="1"/>
    </font>
    <font>
      <sz val="9"/>
      <color rgb="FF212121"/>
      <name val="Calibri"/>
      <family val="0"/>
      <charset val="1"/>
    </font>
    <font>
      <i val="true"/>
      <sz val="9"/>
      <color rgb="FF455A64"/>
      <name val="Calibri"/>
      <family val="0"/>
      <charset val="1"/>
    </font>
    <font>
      <b val="true"/>
      <sz val="9"/>
      <color rgb="FF546E7A"/>
      <name val="Calibri"/>
      <family val="0"/>
      <charset val="1"/>
    </font>
    <font>
      <sz val="8"/>
      <color rgb="FF9E9E9E"/>
      <name val="Calibri"/>
      <family val="0"/>
      <charset val="1"/>
    </font>
    <font>
      <b val="true"/>
      <sz val="11"/>
      <color rgb="FFB71C1C"/>
      <name val="Calibri"/>
      <family val="0"/>
      <charset val="1"/>
    </font>
    <font>
      <b val="true"/>
      <sz val="11"/>
      <color rgb="FF2E7D32"/>
      <name val="Calibri"/>
      <family val="0"/>
      <charset val="1"/>
    </font>
    <font>
      <b val="true"/>
      <sz val="11"/>
      <color rgb="FF0D47A1"/>
      <name val="Calibri"/>
      <family val="0"/>
      <charset val="1"/>
    </font>
    <font>
      <i val="true"/>
      <sz val="8"/>
      <color rgb="FF9C27B0"/>
      <name val="Calibri"/>
      <family val="0"/>
      <charset val="1"/>
    </font>
    <font>
      <b val="true"/>
      <sz val="10"/>
      <color rgb="FF4A148C"/>
      <name val="Calibri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0D47A1"/>
        <bgColor rgb="FF1565C0"/>
      </patternFill>
    </fill>
    <fill>
      <patternFill patternType="solid">
        <fgColor rgb="FFECEFF1"/>
        <bgColor rgb="FFEFEBE9"/>
      </patternFill>
    </fill>
    <fill>
      <patternFill patternType="solid">
        <fgColor rgb="FFFFFDE7"/>
        <bgColor rgb="FFFFF3E0"/>
      </patternFill>
    </fill>
    <fill>
      <patternFill patternType="solid">
        <fgColor rgb="FF263238"/>
        <bgColor rgb="FF212121"/>
      </patternFill>
    </fill>
    <fill>
      <patternFill patternType="solid">
        <fgColor rgb="FF1565C0"/>
        <bgColor rgb="FF0D47A1"/>
      </patternFill>
    </fill>
    <fill>
      <patternFill patternType="solid">
        <fgColor rgb="FFB71C1C"/>
        <bgColor rgb="FFE91E63"/>
      </patternFill>
    </fill>
    <fill>
      <patternFill patternType="solid">
        <fgColor rgb="FFE65100"/>
        <bgColor rgb="FFB71C1C"/>
      </patternFill>
    </fill>
    <fill>
      <patternFill patternType="solid">
        <fgColor rgb="FF5D4037"/>
        <bgColor rgb="FF4E342E"/>
      </patternFill>
    </fill>
    <fill>
      <patternFill patternType="solid">
        <fgColor rgb="FF4E342E"/>
        <bgColor rgb="FF5D4037"/>
      </patternFill>
    </fill>
    <fill>
      <patternFill patternType="solid">
        <fgColor rgb="FFEFEBE9"/>
        <bgColor rgb="FFECEFF1"/>
      </patternFill>
    </fill>
    <fill>
      <patternFill patternType="solid">
        <fgColor rgb="FFFFFFFF"/>
        <bgColor rgb="FFFFFDE7"/>
      </patternFill>
    </fill>
    <fill>
      <patternFill patternType="solid">
        <fgColor rgb="FFFFF3E0"/>
        <bgColor rgb="FFFFEBEE"/>
      </patternFill>
    </fill>
    <fill>
      <patternFill patternType="solid">
        <fgColor rgb="FF1B5E20"/>
        <bgColor rgb="FF2E7D32"/>
      </patternFill>
    </fill>
    <fill>
      <patternFill patternType="solid">
        <fgColor rgb="FFE8F5E9"/>
        <bgColor rgb="FFECEFF1"/>
      </patternFill>
    </fill>
    <fill>
      <patternFill patternType="solid">
        <fgColor rgb="FFE3F2FD"/>
        <bgColor rgb="FFECEFF1"/>
      </patternFill>
    </fill>
    <fill>
      <patternFill patternType="solid">
        <fgColor rgb="FF311B92"/>
        <bgColor rgb="FF4A148C"/>
      </patternFill>
    </fill>
    <fill>
      <patternFill patternType="solid">
        <fgColor rgb="FFEDE7F6"/>
        <bgColor rgb="FFF3E5F5"/>
      </patternFill>
    </fill>
    <fill>
      <patternFill patternType="solid">
        <fgColor rgb="FF546E7A"/>
        <bgColor rgb="FF607D8B"/>
      </patternFill>
    </fill>
    <fill>
      <patternFill patternType="solid">
        <fgColor rgb="FF37474F"/>
        <bgColor rgb="FF455A64"/>
      </patternFill>
    </fill>
    <fill>
      <patternFill patternType="solid">
        <fgColor rgb="FFFFF9C4"/>
        <bgColor rgb="FFFFF3E0"/>
      </patternFill>
    </fill>
    <fill>
      <patternFill patternType="solid">
        <fgColor rgb="FFFFEBEE"/>
        <bgColor rgb="FFFCE4EC"/>
      </patternFill>
    </fill>
    <fill>
      <patternFill patternType="solid">
        <fgColor rgb="FF2E7D32"/>
        <bgColor rgb="FF1B5E20"/>
      </patternFill>
    </fill>
    <fill>
      <patternFill patternType="solid">
        <fgColor rgb="FF9C27B0"/>
        <bgColor rgb="FF800080"/>
      </patternFill>
    </fill>
    <fill>
      <patternFill patternType="solid">
        <fgColor rgb="FFF3E5F5"/>
        <bgColor rgb="FFEDE7F6"/>
      </patternFill>
    </fill>
    <fill>
      <patternFill patternType="solid">
        <fgColor rgb="FFE91E63"/>
        <bgColor rgb="FFB71C1C"/>
      </patternFill>
    </fill>
    <fill>
      <patternFill patternType="solid">
        <fgColor rgb="FFFCE4EC"/>
        <bgColor rgb="FFFFEBEE"/>
      </patternFill>
    </fill>
    <fill>
      <patternFill patternType="solid">
        <fgColor rgb="FF795548"/>
        <bgColor rgb="FF5D403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  <border diagonalUp="false" diagonalDown="false">
      <left style="medium">
        <color rgb="FF37474F"/>
      </left>
      <right/>
      <top style="medium">
        <color rgb="FF37474F"/>
      </top>
      <bottom style="medium">
        <color rgb="FF37474F"/>
      </bottom>
      <diagonal/>
    </border>
    <border diagonalUp="false" diagonalDown="false"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  <border diagonalUp="false" diagonalDown="false">
      <left style="thin">
        <color rgb="FFF9A825"/>
      </left>
      <right/>
      <top style="thin">
        <color rgb="FFF9A825"/>
      </top>
      <bottom style="thin">
        <color rgb="FFF9A8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2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DE7"/>
      <rgbColor rgb="FFFF00FF"/>
      <rgbColor rgb="FF00FFFF"/>
      <rgbColor rgb="FF4E342E"/>
      <rgbColor rgb="FF1B5E20"/>
      <rgbColor rgb="FF000080"/>
      <rgbColor rgb="FF5D4037"/>
      <rgbColor rgb="FF800080"/>
      <rgbColor rgb="FF455A64"/>
      <rgbColor rgb="FFBDBDBD"/>
      <rgbColor rgb="FF607D8B"/>
      <rgbColor rgb="FF9999FF"/>
      <rgbColor rgb="FF9C27B0"/>
      <rgbColor rgb="FFFFF9C4"/>
      <rgbColor rgb="FFE3F2FD"/>
      <rgbColor rgb="FF4A148C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3E0"/>
      <rgbColor rgb="FFF3E5F5"/>
      <rgbColor rgb="FFFFEBEE"/>
      <rgbColor rgb="FFEFEBE9"/>
      <rgbColor rgb="FFFCE4EC"/>
      <rgbColor rgb="FF3366FF"/>
      <rgbColor rgb="FF33CCCC"/>
      <rgbColor rgb="FF99CC00"/>
      <rgbColor rgb="FFFFCC00"/>
      <rgbColor rgb="FFF9A825"/>
      <rgbColor rgb="FFE65100"/>
      <rgbColor rgb="FF546E7A"/>
      <rgbColor rgb="FF9E9E9E"/>
      <rgbColor rgb="FF0D47A1"/>
      <rgbColor rgb="FF2E7D32"/>
      <rgbColor rgb="FF37474F"/>
      <rgbColor rgb="FF212121"/>
      <rgbColor rgb="FFB71C1C"/>
      <rgbColor rgb="FF795548"/>
      <rgbColor rgb="FF311B92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  <c r="F1" s="0" t="s">
        <v>3</v>
      </c>
      <c r="G1" s="0" t="s">
        <v>4</v>
      </c>
      <c r="H1" s="0" t="s">
        <v>5</v>
      </c>
    </row>
    <row r="2" customFormat="false" ht="15" hidden="false" customHeight="false" outlineLevel="0" collapsed="false">
      <c r="A2" s="0" t="s">
        <v>6</v>
      </c>
      <c r="C2" s="0" t="s">
        <v>6</v>
      </c>
      <c r="D2" s="0" t="n">
        <v>160</v>
      </c>
      <c r="E2" s="0" t="n">
        <v>1.2</v>
      </c>
      <c r="F2" s="0" t="n">
        <v>6</v>
      </c>
      <c r="G2" s="0" t="n">
        <v>14.7</v>
      </c>
      <c r="H2" s="0" t="n">
        <v>6.2</v>
      </c>
    </row>
    <row r="3" customFormat="false" ht="15" hidden="false" customHeight="false" outlineLevel="0" collapsed="false">
      <c r="A3" s="0" t="s">
        <v>7</v>
      </c>
      <c r="C3" s="0" t="s">
        <v>7</v>
      </c>
      <c r="D3" s="0" t="n">
        <v>48</v>
      </c>
      <c r="E3" s="0" t="n">
        <v>0.9</v>
      </c>
      <c r="F3" s="0" t="n">
        <v>12.3</v>
      </c>
      <c r="G3" s="0" t="n">
        <v>0.1</v>
      </c>
      <c r="H3" s="0" t="n">
        <v>1</v>
      </c>
    </row>
    <row r="4" customFormat="false" ht="15" hidden="false" customHeight="false" outlineLevel="0" collapsed="false">
      <c r="A4" s="0" t="s">
        <v>8</v>
      </c>
      <c r="C4" s="0" t="s">
        <v>8</v>
      </c>
      <c r="D4" s="0" t="n">
        <v>149</v>
      </c>
      <c r="E4" s="0" t="n">
        <v>0.9</v>
      </c>
      <c r="F4" s="0" t="n">
        <v>35.3</v>
      </c>
      <c r="G4" s="0" t="n">
        <v>0.3</v>
      </c>
      <c r="H4" s="0" t="n">
        <v>1.9</v>
      </c>
    </row>
    <row r="5" customFormat="false" ht="15" hidden="false" customHeight="false" outlineLevel="0" collapsed="false">
      <c r="A5" s="0" t="s">
        <v>9</v>
      </c>
      <c r="C5" s="0" t="s">
        <v>9</v>
      </c>
      <c r="D5" s="0" t="n">
        <v>237</v>
      </c>
      <c r="E5" s="0" t="n">
        <v>32.8</v>
      </c>
      <c r="F5" s="0" t="n">
        <v>0</v>
      </c>
      <c r="G5" s="0" t="n">
        <v>11.4</v>
      </c>
      <c r="H5" s="0" t="n">
        <v>0</v>
      </c>
    </row>
    <row r="6" customFormat="false" ht="15" hidden="false" customHeight="false" outlineLevel="0" collapsed="false">
      <c r="A6" s="0" t="s">
        <v>10</v>
      </c>
      <c r="C6" s="0" t="s">
        <v>10</v>
      </c>
      <c r="D6" s="0" t="n">
        <v>245</v>
      </c>
      <c r="E6" s="0" t="n">
        <v>30</v>
      </c>
      <c r="F6" s="0" t="n">
        <v>0</v>
      </c>
      <c r="G6" s="0" t="n">
        <v>14</v>
      </c>
      <c r="H6" s="0" t="n">
        <v>0</v>
      </c>
    </row>
    <row r="7" customFormat="false" ht="15" hidden="false" customHeight="false" outlineLevel="0" collapsed="false">
      <c r="A7" s="0" t="s">
        <v>11</v>
      </c>
      <c r="C7" s="0" t="s">
        <v>11</v>
      </c>
      <c r="D7" s="0" t="n">
        <v>11</v>
      </c>
      <c r="E7" s="0" t="n">
        <v>1.3</v>
      </c>
      <c r="F7" s="0" t="n">
        <v>1.7</v>
      </c>
      <c r="G7" s="0" t="n">
        <v>0.2</v>
      </c>
      <c r="H7" s="0" t="n">
        <v>1.8</v>
      </c>
    </row>
    <row r="8" customFormat="false" ht="15" hidden="false" customHeight="false" outlineLevel="0" collapsed="false">
      <c r="A8" s="0" t="s">
        <v>12</v>
      </c>
      <c r="C8" s="0" t="s">
        <v>12</v>
      </c>
      <c r="D8" s="0" t="n">
        <v>55</v>
      </c>
      <c r="E8" s="0" t="n">
        <v>0.8</v>
      </c>
      <c r="F8" s="0" t="n">
        <v>13.9</v>
      </c>
      <c r="G8" s="0" t="n">
        <v>0.2</v>
      </c>
      <c r="H8" s="0" t="n">
        <v>1.7</v>
      </c>
    </row>
    <row r="9" customFormat="false" ht="15" hidden="false" customHeight="false" outlineLevel="0" collapsed="false">
      <c r="A9" s="0" t="s">
        <v>13</v>
      </c>
      <c r="C9" s="0" t="s">
        <v>13</v>
      </c>
      <c r="D9" s="0" t="n">
        <v>128</v>
      </c>
      <c r="E9" s="0" t="n">
        <v>2.5</v>
      </c>
      <c r="F9" s="0" t="n">
        <v>28.1</v>
      </c>
      <c r="G9" s="0" t="n">
        <v>0.2</v>
      </c>
      <c r="H9" s="0" t="n">
        <v>1.6</v>
      </c>
    </row>
    <row r="10" customFormat="false" ht="15" hidden="false" customHeight="false" outlineLevel="0" collapsed="false">
      <c r="A10" s="0" t="s">
        <v>14</v>
      </c>
      <c r="C10" s="0" t="s">
        <v>14</v>
      </c>
      <c r="D10" s="0" t="n">
        <v>124</v>
      </c>
      <c r="E10" s="0" t="n">
        <v>2.6</v>
      </c>
      <c r="F10" s="0" t="n">
        <v>25.8</v>
      </c>
      <c r="G10" s="0" t="n">
        <v>1</v>
      </c>
      <c r="H10" s="0" t="n">
        <v>2.7</v>
      </c>
    </row>
    <row r="11" customFormat="false" ht="15" hidden="false" customHeight="false" outlineLevel="0" collapsed="false">
      <c r="A11" s="0" t="s">
        <v>15</v>
      </c>
      <c r="C11" s="0" t="s">
        <v>15</v>
      </c>
      <c r="D11" s="0" t="n">
        <v>119</v>
      </c>
      <c r="E11" s="0" t="n">
        <v>26.3</v>
      </c>
      <c r="F11" s="0" t="n">
        <v>0</v>
      </c>
      <c r="G11" s="0" t="n">
        <v>1.3</v>
      </c>
      <c r="H11" s="0" t="n">
        <v>0</v>
      </c>
    </row>
    <row r="12" customFormat="false" ht="15" hidden="false" customHeight="false" outlineLevel="0" collapsed="false">
      <c r="A12" s="0" t="s">
        <v>16</v>
      </c>
      <c r="C12" s="0" t="s">
        <v>16</v>
      </c>
      <c r="D12" s="0" t="n">
        <v>92</v>
      </c>
      <c r="E12" s="0" t="n">
        <v>1.3</v>
      </c>
      <c r="F12" s="0" t="n">
        <v>23.8</v>
      </c>
      <c r="G12" s="0" t="n">
        <v>0.1</v>
      </c>
      <c r="H12" s="0" t="n">
        <v>1.9</v>
      </c>
    </row>
    <row r="13" customFormat="false" ht="15" hidden="false" customHeight="false" outlineLevel="0" collapsed="false">
      <c r="A13" s="0" t="s">
        <v>17</v>
      </c>
      <c r="C13" s="0" t="s">
        <v>17</v>
      </c>
      <c r="D13" s="0" t="n">
        <v>118</v>
      </c>
      <c r="E13" s="0" t="n">
        <v>1.6</v>
      </c>
      <c r="F13" s="0" t="n">
        <v>27.5</v>
      </c>
      <c r="G13" s="0" t="n">
        <v>0.1</v>
      </c>
      <c r="H13" s="0" t="n">
        <v>3</v>
      </c>
    </row>
    <row r="14" customFormat="false" ht="15" hidden="false" customHeight="false" outlineLevel="0" collapsed="false">
      <c r="A14" s="0" t="s">
        <v>18</v>
      </c>
      <c r="C14" s="0" t="s">
        <v>18</v>
      </c>
      <c r="D14" s="0" t="n">
        <v>93</v>
      </c>
      <c r="E14" s="0" t="n">
        <v>2.5</v>
      </c>
      <c r="F14" s="0" t="n">
        <v>21</v>
      </c>
      <c r="G14" s="0" t="n">
        <v>0.1</v>
      </c>
      <c r="H14" s="0" t="n">
        <v>1.8</v>
      </c>
    </row>
    <row r="15" customFormat="false" ht="15" hidden="false" customHeight="false" outlineLevel="0" collapsed="false">
      <c r="A15" s="0" t="s">
        <v>19</v>
      </c>
      <c r="C15" s="0" t="s">
        <v>19</v>
      </c>
      <c r="D15" s="0" t="n">
        <v>87</v>
      </c>
      <c r="E15" s="0" t="n">
        <v>1.9</v>
      </c>
      <c r="F15" s="0" t="n">
        <v>19.7</v>
      </c>
      <c r="G15" s="0" t="n">
        <v>0.1</v>
      </c>
      <c r="H15" s="0" t="n">
        <v>1.8</v>
      </c>
    </row>
    <row r="16" customFormat="false" ht="15" hidden="false" customHeight="false" outlineLevel="0" collapsed="false">
      <c r="A16" s="0" t="s">
        <v>20</v>
      </c>
      <c r="C16" s="0" t="s">
        <v>20</v>
      </c>
      <c r="D16" s="0" t="n">
        <v>38</v>
      </c>
      <c r="E16" s="0" t="n">
        <v>0.7</v>
      </c>
      <c r="F16" s="0" t="n">
        <v>9.3</v>
      </c>
      <c r="G16" s="0" t="n">
        <v>0.1</v>
      </c>
      <c r="H16" s="0" t="n">
        <v>1.8</v>
      </c>
    </row>
    <row r="17" customFormat="false" ht="15" hidden="false" customHeight="false" outlineLevel="0" collapsed="false">
      <c r="A17" s="0" t="s">
        <v>21</v>
      </c>
      <c r="C17" s="0" t="s">
        <v>21</v>
      </c>
      <c r="D17" s="0" t="n">
        <v>237</v>
      </c>
      <c r="E17" s="0" t="n">
        <v>32.8</v>
      </c>
      <c r="F17" s="0" t="n">
        <v>0</v>
      </c>
      <c r="G17" s="0" t="n">
        <v>11.4</v>
      </c>
      <c r="H17" s="0" t="n">
        <v>0</v>
      </c>
    </row>
    <row r="18" customFormat="false" ht="15" hidden="false" customHeight="false" outlineLevel="0" collapsed="false">
      <c r="A18" s="0" t="s">
        <v>22</v>
      </c>
      <c r="C18" s="0" t="s">
        <v>22</v>
      </c>
      <c r="D18" s="0" t="n">
        <v>520</v>
      </c>
      <c r="E18" s="0" t="n">
        <v>5</v>
      </c>
      <c r="F18" s="0" t="n">
        <v>60</v>
      </c>
      <c r="G18" s="0" t="n">
        <v>28</v>
      </c>
      <c r="H18" s="0" t="n">
        <v>0.5</v>
      </c>
    </row>
    <row r="19" customFormat="false" ht="15" hidden="false" customHeight="false" outlineLevel="0" collapsed="false">
      <c r="A19" s="0" t="s">
        <v>23</v>
      </c>
      <c r="C19" s="0" t="s">
        <v>23</v>
      </c>
      <c r="D19" s="0" t="n">
        <v>2</v>
      </c>
      <c r="E19" s="0" t="n">
        <v>0.3</v>
      </c>
      <c r="F19" s="0" t="n">
        <v>0</v>
      </c>
      <c r="G19" s="0" t="n">
        <v>0</v>
      </c>
      <c r="H19" s="0" t="n">
        <v>0</v>
      </c>
    </row>
    <row r="20" customFormat="false" ht="15" hidden="false" customHeight="false" outlineLevel="0" collapsed="false">
      <c r="A20" s="0" t="s">
        <v>24</v>
      </c>
      <c r="C20" s="0" t="s">
        <v>24</v>
      </c>
      <c r="D20" s="0" t="n">
        <v>115</v>
      </c>
      <c r="E20" s="0" t="n">
        <v>24.4</v>
      </c>
      <c r="F20" s="0" t="n">
        <v>0</v>
      </c>
      <c r="G20" s="0" t="n">
        <v>1.5</v>
      </c>
      <c r="H20" s="0" t="n">
        <v>0</v>
      </c>
    </row>
    <row r="21" customFormat="false" ht="15" hidden="false" customHeight="false" outlineLevel="0" collapsed="false">
      <c r="A21" s="0" t="s">
        <v>25</v>
      </c>
      <c r="C21" s="0" t="s">
        <v>25</v>
      </c>
      <c r="D21" s="0" t="n">
        <v>120</v>
      </c>
      <c r="E21" s="0" t="n">
        <v>25</v>
      </c>
      <c r="F21" s="0" t="n">
        <v>0</v>
      </c>
      <c r="G21" s="0" t="n">
        <v>1.8</v>
      </c>
      <c r="H21" s="0" t="n">
        <v>0</v>
      </c>
    </row>
    <row r="22" customFormat="false" ht="15" hidden="false" customHeight="false" outlineLevel="0" collapsed="false">
      <c r="A22" s="0" t="s">
        <v>26</v>
      </c>
      <c r="C22" s="0" t="s">
        <v>26</v>
      </c>
      <c r="D22" s="0" t="n">
        <v>70</v>
      </c>
      <c r="E22" s="0" t="n">
        <v>0.5</v>
      </c>
      <c r="F22" s="0" t="n">
        <v>18.6</v>
      </c>
      <c r="G22" s="0" t="n">
        <v>0.2</v>
      </c>
      <c r="H22" s="0" t="n">
        <v>3.6</v>
      </c>
    </row>
    <row r="23" customFormat="false" ht="15" hidden="false" customHeight="false" outlineLevel="0" collapsed="false">
      <c r="A23" s="0" t="s">
        <v>27</v>
      </c>
      <c r="C23" s="0" t="s">
        <v>27</v>
      </c>
      <c r="D23" s="0" t="n">
        <v>74</v>
      </c>
      <c r="E23" s="0" t="n">
        <v>0.6</v>
      </c>
      <c r="F23" s="0" t="n">
        <v>19.5</v>
      </c>
      <c r="G23" s="0" t="n">
        <v>0.2</v>
      </c>
      <c r="H23" s="0" t="n">
        <v>3.6</v>
      </c>
    </row>
    <row r="24" customFormat="false" ht="15" hidden="false" customHeight="false" outlineLevel="0" collapsed="false">
      <c r="A24" s="0" t="s">
        <v>28</v>
      </c>
      <c r="C24" s="0" t="s">
        <v>28</v>
      </c>
      <c r="D24" s="0" t="n">
        <v>31</v>
      </c>
      <c r="E24" s="0" t="n">
        <v>0.5</v>
      </c>
      <c r="F24" s="0" t="n">
        <v>7.4</v>
      </c>
      <c r="G24" s="0" t="n">
        <v>0.1</v>
      </c>
      <c r="H24" s="0" t="n">
        <v>2.8</v>
      </c>
    </row>
    <row r="25" customFormat="false" ht="15" hidden="false" customHeight="false" outlineLevel="0" collapsed="false">
      <c r="A25" s="0" t="s">
        <v>29</v>
      </c>
      <c r="C25" s="0" t="s">
        <v>29</v>
      </c>
      <c r="D25" s="0" t="n">
        <v>219</v>
      </c>
      <c r="E25" s="0" t="n">
        <v>35</v>
      </c>
      <c r="F25" s="0" t="n">
        <v>0</v>
      </c>
      <c r="G25" s="0" t="n">
        <v>8.5</v>
      </c>
      <c r="H25" s="0" t="n">
        <v>0</v>
      </c>
    </row>
    <row r="26" customFormat="false" ht="15" hidden="false" customHeight="false" outlineLevel="0" collapsed="false">
      <c r="A26" s="0" t="s">
        <v>30</v>
      </c>
      <c r="C26" s="0" t="s">
        <v>30</v>
      </c>
      <c r="D26" s="0" t="n">
        <v>100</v>
      </c>
      <c r="E26" s="0" t="n">
        <v>1.5</v>
      </c>
      <c r="F26" s="0" t="n">
        <v>24</v>
      </c>
      <c r="G26" s="0" t="n">
        <v>0.4</v>
      </c>
      <c r="H26" s="0" t="n">
        <v>0.8</v>
      </c>
    </row>
    <row r="27" customFormat="false" ht="15" hidden="false" customHeight="false" outlineLevel="0" collapsed="false">
      <c r="A27" s="0" t="s">
        <v>31</v>
      </c>
      <c r="C27" s="0" t="s">
        <v>31</v>
      </c>
      <c r="D27" s="0" t="n">
        <v>1</v>
      </c>
      <c r="E27" s="0" t="n">
        <v>0</v>
      </c>
      <c r="F27" s="0" t="n">
        <v>0.3</v>
      </c>
      <c r="G27" s="0" t="n">
        <v>0</v>
      </c>
      <c r="H27" s="0" t="n">
        <v>0</v>
      </c>
    </row>
    <row r="28" customFormat="false" ht="15" hidden="false" customHeight="false" outlineLevel="0" collapsed="false">
      <c r="A28" s="0" t="s">
        <v>32</v>
      </c>
      <c r="C28" s="0" t="s">
        <v>32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</row>
    <row r="29" customFormat="false" ht="15" hidden="false" customHeight="false" outlineLevel="0" collapsed="false">
      <c r="A29" s="0" t="s">
        <v>33</v>
      </c>
      <c r="C29" s="0" t="s">
        <v>33</v>
      </c>
      <c r="D29" s="0" t="n">
        <v>127</v>
      </c>
      <c r="E29" s="0" t="n">
        <v>3</v>
      </c>
      <c r="F29" s="0" t="n">
        <v>27.6</v>
      </c>
      <c r="G29" s="0" t="n">
        <v>0.6</v>
      </c>
      <c r="H29" s="0" t="n">
        <v>1.8</v>
      </c>
    </row>
    <row r="30" customFormat="false" ht="15" hidden="false" customHeight="false" outlineLevel="0" collapsed="false">
      <c r="A30" s="0" t="s">
        <v>34</v>
      </c>
      <c r="C30" s="0" t="s">
        <v>34</v>
      </c>
      <c r="D30" s="0" t="n">
        <v>77</v>
      </c>
      <c r="E30" s="0" t="n">
        <v>4.5</v>
      </c>
      <c r="F30" s="0" t="n">
        <v>13.6</v>
      </c>
      <c r="G30" s="0" t="n">
        <v>0.5</v>
      </c>
      <c r="H30" s="0" t="n">
        <v>8.4</v>
      </c>
    </row>
    <row r="31" customFormat="false" ht="15" hidden="false" customHeight="false" outlineLevel="0" collapsed="false">
      <c r="A31" s="0" t="s">
        <v>35</v>
      </c>
      <c r="C31" s="0" t="s">
        <v>35</v>
      </c>
      <c r="D31" s="0" t="n">
        <v>163</v>
      </c>
      <c r="E31" s="0" t="n">
        <v>31.5</v>
      </c>
      <c r="F31" s="0" t="n">
        <v>0</v>
      </c>
      <c r="G31" s="0" t="n">
        <v>3.7</v>
      </c>
      <c r="H31" s="0" t="n">
        <v>0</v>
      </c>
    </row>
    <row r="32" customFormat="false" ht="15" hidden="false" customHeight="false" outlineLevel="0" collapsed="false">
      <c r="A32" s="0" t="s">
        <v>36</v>
      </c>
      <c r="C32" s="0" t="s">
        <v>36</v>
      </c>
      <c r="D32" s="0" t="n">
        <v>134</v>
      </c>
      <c r="E32" s="0" t="n">
        <v>22.5</v>
      </c>
      <c r="F32" s="0" t="n">
        <v>3.9</v>
      </c>
      <c r="G32" s="0" t="n">
        <v>3.8</v>
      </c>
      <c r="H32" s="0" t="n">
        <v>0</v>
      </c>
    </row>
    <row r="33" customFormat="false" ht="15" hidden="false" customHeight="false" outlineLevel="0" collapsed="false">
      <c r="A33" s="0" t="s">
        <v>37</v>
      </c>
      <c r="C33" s="0" t="s">
        <v>37</v>
      </c>
      <c r="D33" s="0" t="n">
        <v>54</v>
      </c>
      <c r="E33" s="0" t="n">
        <v>2.6</v>
      </c>
      <c r="F33" s="0" t="n">
        <v>10.1</v>
      </c>
      <c r="G33" s="0" t="n">
        <v>0.5</v>
      </c>
      <c r="H33" s="0" t="n">
        <v>6</v>
      </c>
    </row>
    <row r="34" customFormat="false" ht="15" hidden="false" customHeight="false" outlineLevel="0" collapsed="false">
      <c r="A34" s="0" t="s">
        <v>38</v>
      </c>
      <c r="C34" s="0" t="s">
        <v>38</v>
      </c>
      <c r="D34" s="0" t="n">
        <v>61</v>
      </c>
      <c r="E34" s="0" t="n">
        <v>1.1</v>
      </c>
      <c r="F34" s="0" t="n">
        <v>14.7</v>
      </c>
      <c r="G34" s="0" t="n">
        <v>0.6</v>
      </c>
      <c r="H34" s="0" t="n">
        <v>3</v>
      </c>
    </row>
    <row r="35" customFormat="false" ht="15" hidden="false" customHeight="false" outlineLevel="0" collapsed="false">
      <c r="A35" s="0" t="s">
        <v>39</v>
      </c>
      <c r="C35" s="0" t="s">
        <v>39</v>
      </c>
      <c r="D35" s="0" t="n">
        <v>46</v>
      </c>
      <c r="E35" s="0" t="n">
        <v>0.9</v>
      </c>
      <c r="F35" s="0" t="n">
        <v>11.5</v>
      </c>
      <c r="G35" s="0" t="n">
        <v>0.1</v>
      </c>
      <c r="H35" s="0" t="n">
        <v>2.2</v>
      </c>
    </row>
    <row r="36" customFormat="false" ht="15" hidden="false" customHeight="false" outlineLevel="0" collapsed="false">
      <c r="A36" s="0" t="s">
        <v>40</v>
      </c>
      <c r="C36" s="0" t="s">
        <v>40</v>
      </c>
      <c r="D36" s="0" t="n">
        <v>35</v>
      </c>
      <c r="E36" s="0" t="n">
        <v>2</v>
      </c>
      <c r="F36" s="0" t="n">
        <v>6.5</v>
      </c>
      <c r="G36" s="0" t="n">
        <v>0.3</v>
      </c>
      <c r="H36" s="0" t="n">
        <v>2.5</v>
      </c>
    </row>
    <row r="37" customFormat="false" ht="15" hidden="false" customHeight="false" outlineLevel="0" collapsed="false">
      <c r="A37" s="0" t="s">
        <v>41</v>
      </c>
      <c r="C37" s="0" t="s">
        <v>41</v>
      </c>
      <c r="D37" s="0" t="n">
        <v>61</v>
      </c>
      <c r="E37" s="0" t="n">
        <v>3.2</v>
      </c>
      <c r="F37" s="0" t="n">
        <v>4.7</v>
      </c>
      <c r="G37" s="0" t="n">
        <v>3.2</v>
      </c>
      <c r="H37" s="0" t="n">
        <v>0</v>
      </c>
    </row>
    <row r="38" customFormat="false" ht="15" hidden="false" customHeight="false" outlineLevel="0" collapsed="false">
      <c r="A38" s="0" t="s">
        <v>42</v>
      </c>
      <c r="C38" s="0" t="s">
        <v>42</v>
      </c>
      <c r="D38" s="0" t="n">
        <v>206</v>
      </c>
      <c r="E38" s="0" t="n">
        <v>29</v>
      </c>
      <c r="F38" s="0" t="n">
        <v>0</v>
      </c>
      <c r="G38" s="0" t="n">
        <v>9.5</v>
      </c>
      <c r="H38" s="0" t="n">
        <v>0</v>
      </c>
    </row>
    <row r="39" customFormat="false" ht="15" hidden="false" customHeight="false" outlineLevel="0" collapsed="false">
      <c r="A39" s="0" t="s">
        <v>43</v>
      </c>
      <c r="C39" s="0" t="s">
        <v>43</v>
      </c>
      <c r="D39" s="0" t="n">
        <v>195</v>
      </c>
      <c r="E39" s="0" t="n">
        <v>28</v>
      </c>
      <c r="F39" s="0" t="n">
        <v>0</v>
      </c>
      <c r="G39" s="0" t="n">
        <v>8.8</v>
      </c>
      <c r="H39" s="0" t="n">
        <v>0</v>
      </c>
    </row>
    <row r="40" customFormat="false" ht="15" hidden="false" customHeight="false" outlineLevel="0" collapsed="false">
      <c r="A40" s="0" t="s">
        <v>44</v>
      </c>
      <c r="C40" s="0" t="s">
        <v>44</v>
      </c>
      <c r="D40" s="0" t="n">
        <v>158</v>
      </c>
      <c r="E40" s="0" t="n">
        <v>4.8</v>
      </c>
      <c r="F40" s="0" t="n">
        <v>31.7</v>
      </c>
      <c r="G40" s="0" t="n">
        <v>0.8</v>
      </c>
      <c r="H40" s="0" t="n">
        <v>1.5</v>
      </c>
    </row>
    <row r="41" customFormat="false" ht="15" hidden="false" customHeight="false" outlineLevel="0" collapsed="false">
      <c r="A41" s="0" t="s">
        <v>45</v>
      </c>
      <c r="C41" s="0" t="s">
        <v>45</v>
      </c>
      <c r="D41" s="0" t="n">
        <v>141</v>
      </c>
      <c r="E41" s="0" t="n">
        <v>5.2</v>
      </c>
      <c r="F41" s="0" t="n">
        <v>28.6</v>
      </c>
      <c r="G41" s="0" t="n">
        <v>1.1</v>
      </c>
      <c r="H41" s="0" t="n">
        <v>3.2</v>
      </c>
    </row>
    <row r="42" customFormat="false" ht="15" hidden="false" customHeight="false" outlineLevel="0" collapsed="false">
      <c r="A42" s="0" t="s">
        <v>46</v>
      </c>
      <c r="C42" s="0" t="s">
        <v>46</v>
      </c>
      <c r="D42" s="0" t="n">
        <v>45</v>
      </c>
      <c r="E42" s="0" t="n">
        <v>0.5</v>
      </c>
      <c r="F42" s="0" t="n">
        <v>11.9</v>
      </c>
      <c r="G42" s="0" t="n">
        <v>0.1</v>
      </c>
      <c r="H42" s="0" t="n">
        <v>1.8</v>
      </c>
    </row>
    <row r="43" customFormat="false" ht="15" hidden="false" customHeight="false" outlineLevel="0" collapsed="false">
      <c r="A43" s="0" t="s">
        <v>47</v>
      </c>
      <c r="C43" s="0" t="s">
        <v>47</v>
      </c>
      <c r="D43" s="0" t="n">
        <v>64</v>
      </c>
      <c r="E43" s="0" t="n">
        <v>0.6</v>
      </c>
      <c r="F43" s="0" t="n">
        <v>16.9</v>
      </c>
      <c r="G43" s="0" t="n">
        <v>0.3</v>
      </c>
      <c r="H43" s="0" t="n">
        <v>1.4</v>
      </c>
    </row>
    <row r="44" customFormat="false" ht="15" hidden="false" customHeight="false" outlineLevel="0" collapsed="false">
      <c r="A44" s="0" t="s">
        <v>48</v>
      </c>
      <c r="C44" s="0" t="s">
        <v>48</v>
      </c>
      <c r="D44" s="0" t="n">
        <v>56</v>
      </c>
      <c r="E44" s="0" t="n">
        <v>0.3</v>
      </c>
      <c r="F44" s="0" t="n">
        <v>14.9</v>
      </c>
      <c r="G44" s="0" t="n">
        <v>0.1</v>
      </c>
      <c r="H44" s="0" t="n">
        <v>1.8</v>
      </c>
    </row>
    <row r="45" customFormat="false" ht="15" hidden="false" customHeight="false" outlineLevel="0" collapsed="false">
      <c r="A45" s="0" t="s">
        <v>49</v>
      </c>
      <c r="C45" s="0" t="s">
        <v>49</v>
      </c>
      <c r="D45" s="0" t="n">
        <v>33</v>
      </c>
      <c r="E45" s="0" t="n">
        <v>0.7</v>
      </c>
      <c r="F45" s="0" t="n">
        <v>8</v>
      </c>
      <c r="G45" s="0" t="n">
        <v>0.2</v>
      </c>
      <c r="H45" s="0" t="n">
        <v>0.3</v>
      </c>
    </row>
    <row r="46" customFormat="false" ht="15" hidden="false" customHeight="false" outlineLevel="0" collapsed="false">
      <c r="A46" s="0" t="s">
        <v>50</v>
      </c>
      <c r="C46" s="0" t="s">
        <v>50</v>
      </c>
      <c r="D46" s="0" t="n">
        <v>29</v>
      </c>
      <c r="E46" s="0" t="n">
        <v>0.7</v>
      </c>
      <c r="F46" s="0" t="n">
        <v>7.4</v>
      </c>
      <c r="G46" s="0" t="n">
        <v>0.1</v>
      </c>
      <c r="H46" s="0" t="n">
        <v>0.3</v>
      </c>
    </row>
    <row r="47" customFormat="false" ht="15" hidden="false" customHeight="false" outlineLevel="0" collapsed="false">
      <c r="A47" s="0" t="s">
        <v>51</v>
      </c>
      <c r="C47" s="0" t="s">
        <v>51</v>
      </c>
      <c r="D47" s="0" t="n">
        <v>140</v>
      </c>
      <c r="E47" s="0" t="n">
        <v>26</v>
      </c>
      <c r="F47" s="0" t="n">
        <v>0</v>
      </c>
      <c r="G47" s="0" t="n">
        <v>3.5</v>
      </c>
      <c r="H47" s="0" t="n">
        <v>0</v>
      </c>
    </row>
    <row r="48" customFormat="false" ht="15" hidden="false" customHeight="false" outlineLevel="0" collapsed="false">
      <c r="A48" s="0" t="s">
        <v>52</v>
      </c>
      <c r="C48" s="0" t="s">
        <v>52</v>
      </c>
      <c r="D48" s="0" t="n">
        <v>35</v>
      </c>
      <c r="E48" s="0" t="n">
        <v>1.5</v>
      </c>
      <c r="F48" s="0" t="n">
        <v>7</v>
      </c>
      <c r="G48" s="0" t="n">
        <v>0.3</v>
      </c>
      <c r="H48" s="0" t="n">
        <v>1.5</v>
      </c>
    </row>
    <row r="49" customFormat="false" ht="15" hidden="false" customHeight="false" outlineLevel="0" collapsed="false">
      <c r="A49" s="0" t="s">
        <v>53</v>
      </c>
      <c r="C49" s="0" t="s">
        <v>53</v>
      </c>
      <c r="D49" s="0" t="n">
        <v>26</v>
      </c>
      <c r="E49" s="0" t="n">
        <v>0.7</v>
      </c>
      <c r="F49" s="0" t="n">
        <v>6</v>
      </c>
      <c r="G49" s="0" t="n">
        <v>0.1</v>
      </c>
      <c r="H49" s="0" t="n">
        <v>2</v>
      </c>
    </row>
    <row r="50" customFormat="false" ht="15" hidden="false" customHeight="false" outlineLevel="0" collapsed="false">
      <c r="A50" s="0" t="s">
        <v>54</v>
      </c>
      <c r="C50" s="0" t="s">
        <v>54</v>
      </c>
      <c r="D50" s="0" t="n">
        <v>30</v>
      </c>
      <c r="E50" s="0" t="n">
        <v>0.8</v>
      </c>
      <c r="F50" s="0" t="n">
        <v>7.1</v>
      </c>
      <c r="G50" s="0" t="n">
        <v>0.3</v>
      </c>
      <c r="H50" s="0" t="n">
        <v>2.1</v>
      </c>
    </row>
    <row r="51" customFormat="false" ht="15" hidden="false" customHeight="false" outlineLevel="0" collapsed="false">
      <c r="A51" s="0" t="s">
        <v>55</v>
      </c>
      <c r="C51" s="0" t="s">
        <v>55</v>
      </c>
      <c r="D51" s="0" t="n">
        <v>146</v>
      </c>
      <c r="E51" s="0" t="n">
        <v>13.3</v>
      </c>
      <c r="F51" s="0" t="n">
        <v>0.6</v>
      </c>
      <c r="G51" s="0" t="n">
        <v>10</v>
      </c>
      <c r="H51" s="0" t="n">
        <v>0</v>
      </c>
    </row>
    <row r="52" customFormat="false" ht="15" hidden="false" customHeight="false" outlineLevel="0" collapsed="false">
      <c r="A52" s="0" t="s">
        <v>56</v>
      </c>
      <c r="C52" s="0" t="s">
        <v>56</v>
      </c>
      <c r="D52" s="0" t="n">
        <v>225</v>
      </c>
      <c r="E52" s="0" t="n">
        <v>28</v>
      </c>
      <c r="F52" s="0" t="n">
        <v>0</v>
      </c>
      <c r="G52" s="0" t="n">
        <v>12</v>
      </c>
      <c r="H52" s="0" t="n">
        <v>0</v>
      </c>
    </row>
    <row r="53" customFormat="false" ht="15" hidden="false" customHeight="false" outlineLevel="0" collapsed="false">
      <c r="A53" s="0" t="s">
        <v>57</v>
      </c>
      <c r="C53" s="0" t="s">
        <v>57</v>
      </c>
      <c r="D53" s="0" t="n">
        <v>170</v>
      </c>
      <c r="E53" s="0" t="n">
        <v>8</v>
      </c>
      <c r="F53" s="0" t="n">
        <v>5</v>
      </c>
      <c r="G53" s="0" t="n">
        <v>13</v>
      </c>
      <c r="H53" s="0" t="n">
        <v>0</v>
      </c>
    </row>
    <row r="54" customFormat="false" ht="15" hidden="false" customHeight="false" outlineLevel="0" collapsed="false">
      <c r="A54" s="0" t="s">
        <v>58</v>
      </c>
      <c r="C54" s="0" t="s">
        <v>58</v>
      </c>
      <c r="D54" s="0" t="n">
        <v>163</v>
      </c>
      <c r="E54" s="0" t="n">
        <v>31.5</v>
      </c>
      <c r="F54" s="0" t="n">
        <v>0</v>
      </c>
      <c r="G54" s="0" t="n">
        <v>3.7</v>
      </c>
      <c r="H54" s="0" t="n">
        <v>0</v>
      </c>
    </row>
    <row r="55" customFormat="false" ht="15" hidden="false" customHeight="false" outlineLevel="0" collapsed="false">
      <c r="A55" s="0" t="s">
        <v>59</v>
      </c>
      <c r="C55" s="0" t="s">
        <v>59</v>
      </c>
      <c r="D55" s="0" t="n">
        <v>159</v>
      </c>
      <c r="E55" s="0" t="n">
        <v>32</v>
      </c>
      <c r="F55" s="0" t="n">
        <v>0</v>
      </c>
      <c r="G55" s="0" t="n">
        <v>3.2</v>
      </c>
      <c r="H55" s="0" t="n">
        <v>0</v>
      </c>
    </row>
    <row r="56" customFormat="false" ht="15" hidden="false" customHeight="false" outlineLevel="0" collapsed="false">
      <c r="A56" s="0" t="s">
        <v>60</v>
      </c>
      <c r="C56" s="0" t="s">
        <v>60</v>
      </c>
      <c r="D56" s="0" t="n">
        <v>109</v>
      </c>
      <c r="E56" s="0" t="n">
        <v>17.4</v>
      </c>
      <c r="F56" s="0" t="n">
        <v>1.9</v>
      </c>
      <c r="G56" s="0" t="n">
        <v>3.6</v>
      </c>
      <c r="H56" s="0" t="n">
        <v>0</v>
      </c>
    </row>
    <row r="57" customFormat="false" ht="15" hidden="false" customHeight="false" outlineLevel="0" collapsed="false">
      <c r="A57" s="0" t="s">
        <v>61</v>
      </c>
      <c r="C57" s="0" t="s">
        <v>61</v>
      </c>
      <c r="D57" s="0" t="n">
        <v>122</v>
      </c>
      <c r="E57" s="0" t="n">
        <v>24</v>
      </c>
      <c r="F57" s="0" t="n">
        <v>0</v>
      </c>
      <c r="G57" s="0" t="n">
        <v>2.5</v>
      </c>
      <c r="H57" s="0" t="n">
        <v>0</v>
      </c>
    </row>
    <row r="58" customFormat="false" ht="15" hidden="false" customHeight="false" outlineLevel="0" collapsed="false">
      <c r="A58" s="0" t="s">
        <v>62</v>
      </c>
      <c r="C58" s="0" t="s">
        <v>62</v>
      </c>
      <c r="D58" s="0" t="n">
        <v>128</v>
      </c>
      <c r="E58" s="0" t="n">
        <v>25</v>
      </c>
      <c r="F58" s="0" t="n">
        <v>0</v>
      </c>
      <c r="G58" s="0" t="n">
        <v>2.8</v>
      </c>
      <c r="H58" s="0" t="n">
        <v>0</v>
      </c>
    </row>
    <row r="59" customFormat="false" ht="15" hidden="false" customHeight="false" outlineLevel="0" collapsed="false">
      <c r="A59" s="0" t="s">
        <v>63</v>
      </c>
      <c r="C59" s="0" t="s">
        <v>63</v>
      </c>
      <c r="D59" s="0" t="n">
        <v>53</v>
      </c>
      <c r="E59" s="0" t="n">
        <v>0.4</v>
      </c>
      <c r="F59" s="0" t="n">
        <v>13.6</v>
      </c>
      <c r="G59" s="0" t="n">
        <v>0.1</v>
      </c>
      <c r="H59" s="0" t="n">
        <v>3</v>
      </c>
    </row>
    <row r="60" customFormat="false" ht="15" hidden="false" customHeight="false" outlineLevel="0" collapsed="false">
      <c r="A60" s="0" t="s">
        <v>64</v>
      </c>
      <c r="C60" s="0" t="s">
        <v>64</v>
      </c>
      <c r="D60" s="0" t="n">
        <v>232</v>
      </c>
      <c r="E60" s="0" t="n">
        <v>27</v>
      </c>
      <c r="F60" s="0" t="n">
        <v>0</v>
      </c>
      <c r="G60" s="0" t="n">
        <v>13</v>
      </c>
      <c r="H60" s="0" t="n">
        <v>0</v>
      </c>
    </row>
    <row r="61" customFormat="false" ht="15" hidden="false" customHeight="false" outlineLevel="0" collapsed="false">
      <c r="A61" s="0" t="s">
        <v>65</v>
      </c>
      <c r="C61" s="0" t="s">
        <v>65</v>
      </c>
      <c r="D61" s="0" t="n">
        <v>60</v>
      </c>
      <c r="E61" s="0" t="n">
        <v>1.2</v>
      </c>
      <c r="F61" s="0" t="n">
        <v>13.2</v>
      </c>
      <c r="G61" s="0" t="n">
        <v>0.4</v>
      </c>
      <c r="H61" s="0" t="n">
        <v>2.9</v>
      </c>
    </row>
    <row r="62" customFormat="false" ht="15" hidden="false" customHeight="false" outlineLevel="0" collapsed="false">
      <c r="A62" s="0" t="s">
        <v>66</v>
      </c>
      <c r="C62" s="0" t="s">
        <v>66</v>
      </c>
      <c r="D62" s="0" t="n">
        <v>70</v>
      </c>
      <c r="E62" s="0" t="n">
        <v>1.6</v>
      </c>
      <c r="F62" s="0" t="n">
        <v>15.2</v>
      </c>
      <c r="G62" s="0" t="n">
        <v>0.3</v>
      </c>
      <c r="H62" s="0" t="n">
        <v>1</v>
      </c>
    </row>
    <row r="63" customFormat="false" ht="15" hidden="false" customHeight="false" outlineLevel="0" collapsed="false">
      <c r="A63" s="0" t="s">
        <v>67</v>
      </c>
      <c r="C63" s="0" t="s">
        <v>67</v>
      </c>
      <c r="D63" s="0" t="n">
        <v>102</v>
      </c>
      <c r="E63" s="0" t="n">
        <v>2.5</v>
      </c>
      <c r="F63" s="0" t="n">
        <v>17</v>
      </c>
      <c r="G63" s="0" t="n">
        <v>3</v>
      </c>
      <c r="H63" s="0" t="n">
        <v>1.5</v>
      </c>
    </row>
    <row r="64" customFormat="false" ht="15" hidden="false" customHeight="false" outlineLevel="0" collapsed="false">
      <c r="A64" s="0" t="s">
        <v>68</v>
      </c>
      <c r="C64" s="0" t="s">
        <v>68</v>
      </c>
      <c r="D64" s="0" t="n">
        <v>280</v>
      </c>
      <c r="E64" s="0" t="n">
        <v>8</v>
      </c>
      <c r="F64" s="0" t="n">
        <v>50</v>
      </c>
      <c r="G64" s="0" t="n">
        <v>5</v>
      </c>
      <c r="H64" s="0" t="n">
        <v>2</v>
      </c>
    </row>
    <row r="65" customFormat="false" ht="15" hidden="false" customHeight="false" outlineLevel="0" collapsed="false">
      <c r="A65" s="0" t="s">
        <v>69</v>
      </c>
      <c r="C65" s="0" t="s">
        <v>69</v>
      </c>
      <c r="D65" s="0" t="n">
        <v>300</v>
      </c>
      <c r="E65" s="0" t="n">
        <v>8</v>
      </c>
      <c r="F65" s="0" t="n">
        <v>58.6</v>
      </c>
      <c r="G65" s="0" t="n">
        <v>3.1</v>
      </c>
      <c r="H65" s="0" t="n">
        <v>2.3</v>
      </c>
    </row>
    <row r="66" customFormat="false" ht="15" hidden="false" customHeight="false" outlineLevel="0" collapsed="false">
      <c r="A66" s="0" t="s">
        <v>70</v>
      </c>
      <c r="C66" s="0" t="s">
        <v>70</v>
      </c>
      <c r="D66" s="0" t="n">
        <v>253</v>
      </c>
      <c r="E66" s="0" t="n">
        <v>8.8</v>
      </c>
      <c r="F66" s="0" t="n">
        <v>46.7</v>
      </c>
      <c r="G66" s="0" t="n">
        <v>3.5</v>
      </c>
      <c r="H66" s="0" t="n">
        <v>5.7</v>
      </c>
    </row>
    <row r="67" customFormat="false" ht="15" hidden="false" customHeight="false" outlineLevel="0" collapsed="false">
      <c r="A67" s="0" t="s">
        <v>71</v>
      </c>
      <c r="C67" s="0" t="s">
        <v>71</v>
      </c>
      <c r="D67" s="0" t="n">
        <v>43</v>
      </c>
      <c r="E67" s="0" t="n">
        <v>1.2</v>
      </c>
      <c r="F67" s="0" t="n">
        <v>9.4</v>
      </c>
      <c r="G67" s="0" t="n">
        <v>0.1</v>
      </c>
      <c r="H67" s="0" t="n">
        <v>2.1</v>
      </c>
    </row>
    <row r="68" customFormat="false" ht="15" hidden="false" customHeight="false" outlineLevel="0" collapsed="false">
      <c r="A68" s="0" t="s">
        <v>72</v>
      </c>
      <c r="C68" s="0" t="s">
        <v>72</v>
      </c>
      <c r="D68" s="0" t="n">
        <v>289</v>
      </c>
      <c r="E68" s="0" t="n">
        <v>18</v>
      </c>
      <c r="F68" s="0" t="n">
        <v>2.6</v>
      </c>
      <c r="G68" s="0" t="n">
        <v>22.9</v>
      </c>
      <c r="H68" s="0" t="n">
        <v>0</v>
      </c>
    </row>
    <row r="69" customFormat="false" ht="15" hidden="false" customHeight="false" outlineLevel="0" collapsed="false">
      <c r="A69" s="0" t="s">
        <v>73</v>
      </c>
      <c r="C69" s="0" t="s">
        <v>73</v>
      </c>
      <c r="D69" s="0" t="n">
        <v>240</v>
      </c>
      <c r="E69" s="0" t="n">
        <v>7</v>
      </c>
      <c r="F69" s="0" t="n">
        <v>3.5</v>
      </c>
      <c r="G69" s="0" t="n">
        <v>22</v>
      </c>
      <c r="H69" s="0" t="n">
        <v>0</v>
      </c>
    </row>
    <row r="70" customFormat="false" ht="15" hidden="false" customHeight="false" outlineLevel="0" collapsed="false">
      <c r="A70" s="0" t="s">
        <v>74</v>
      </c>
      <c r="C70" s="0" t="s">
        <v>74</v>
      </c>
      <c r="D70" s="0" t="n">
        <v>152</v>
      </c>
      <c r="E70" s="0" t="n">
        <v>7.5</v>
      </c>
      <c r="F70" s="0" t="n">
        <v>3.2</v>
      </c>
      <c r="G70" s="0" t="n">
        <v>12</v>
      </c>
      <c r="H70" s="0" t="n">
        <v>0</v>
      </c>
    </row>
    <row r="71" customFormat="false" ht="15" hidden="false" customHeight="false" outlineLevel="0" collapsed="false">
      <c r="A71" s="0" t="s">
        <v>75</v>
      </c>
      <c r="C71" s="0" t="s">
        <v>75</v>
      </c>
      <c r="D71" s="0" t="n">
        <v>246</v>
      </c>
      <c r="E71" s="0" t="n">
        <v>27.3</v>
      </c>
      <c r="F71" s="0" t="n">
        <v>0</v>
      </c>
      <c r="G71" s="0" t="n">
        <v>15</v>
      </c>
      <c r="H71" s="0" t="n">
        <v>0</v>
      </c>
    </row>
    <row r="72" customFormat="false" ht="15" hidden="false" customHeight="false" outlineLevel="0" collapsed="false">
      <c r="A72" s="0" t="s">
        <v>76</v>
      </c>
      <c r="C72" s="0" t="s">
        <v>76</v>
      </c>
      <c r="D72" s="0" t="n">
        <v>215</v>
      </c>
      <c r="E72" s="0" t="n">
        <v>21</v>
      </c>
      <c r="F72" s="0" t="n">
        <v>0</v>
      </c>
      <c r="G72" s="0" t="n">
        <v>14</v>
      </c>
      <c r="H72" s="0" t="n">
        <v>0</v>
      </c>
    </row>
    <row r="73" customFormat="false" ht="15" hidden="false" customHeight="false" outlineLevel="0" collapsed="false">
      <c r="A73" s="0" t="s">
        <v>77</v>
      </c>
      <c r="C73" s="0" t="s">
        <v>77</v>
      </c>
      <c r="D73" s="0" t="n">
        <v>45</v>
      </c>
      <c r="E73" s="0" t="n">
        <v>0.7</v>
      </c>
      <c r="F73" s="0" t="n">
        <v>10.7</v>
      </c>
      <c r="G73" s="0" t="n">
        <v>0.2</v>
      </c>
      <c r="H73" s="0" t="n">
        <v>0.4</v>
      </c>
    </row>
    <row r="74" customFormat="false" ht="15" hidden="false" customHeight="false" outlineLevel="0" collapsed="false">
      <c r="A74" s="0" t="s">
        <v>78</v>
      </c>
      <c r="C74" s="0" t="s">
        <v>78</v>
      </c>
      <c r="D74" s="0" t="n">
        <v>354</v>
      </c>
      <c r="E74" s="0" t="n">
        <v>0.1</v>
      </c>
      <c r="F74" s="0" t="n">
        <v>87.8</v>
      </c>
      <c r="G74" s="0" t="n">
        <v>0.3</v>
      </c>
      <c r="H74" s="0" t="n">
        <v>0.2</v>
      </c>
    </row>
    <row r="75" customFormat="false" ht="15" hidden="false" customHeight="false" outlineLevel="0" collapsed="false">
      <c r="A75" s="0" t="s">
        <v>79</v>
      </c>
      <c r="C75" s="0" t="s">
        <v>79</v>
      </c>
      <c r="D75" s="0" t="n">
        <v>18</v>
      </c>
      <c r="E75" s="0" t="n">
        <v>0.9</v>
      </c>
      <c r="F75" s="0" t="n">
        <v>3.5</v>
      </c>
      <c r="G75" s="0" t="n">
        <v>0.2</v>
      </c>
      <c r="H75" s="0" t="n">
        <v>1.2</v>
      </c>
    </row>
    <row r="76" customFormat="false" ht="15" hidden="false" customHeight="false" outlineLevel="0" collapsed="false">
      <c r="A76" s="0" t="s">
        <v>80</v>
      </c>
      <c r="C76" s="0" t="s">
        <v>80</v>
      </c>
      <c r="D76" s="0" t="n">
        <v>380</v>
      </c>
      <c r="E76" s="0" t="n">
        <v>11.5</v>
      </c>
      <c r="F76" s="0" t="n">
        <v>72</v>
      </c>
      <c r="G76" s="0" t="n">
        <v>4.8</v>
      </c>
      <c r="H76" s="0" t="n">
        <v>6</v>
      </c>
    </row>
    <row r="77" customFormat="false" ht="15" hidden="false" customHeight="false" outlineLevel="0" collapsed="false">
      <c r="A77" s="0" t="s">
        <v>81</v>
      </c>
      <c r="C77" s="0" t="s">
        <v>81</v>
      </c>
      <c r="D77" s="0" t="n">
        <v>390</v>
      </c>
      <c r="E77" s="0" t="n">
        <v>11</v>
      </c>
      <c r="F77" s="0" t="n">
        <v>74</v>
      </c>
      <c r="G77" s="0" t="n">
        <v>5.5</v>
      </c>
      <c r="H77" s="0" t="n">
        <v>5</v>
      </c>
    </row>
    <row r="78" customFormat="false" ht="15" hidden="false" customHeight="false" outlineLevel="0" collapsed="false">
      <c r="A78" s="0" t="s">
        <v>82</v>
      </c>
      <c r="C78" s="0" t="s">
        <v>82</v>
      </c>
      <c r="D78" s="0" t="n">
        <v>70</v>
      </c>
      <c r="E78" s="0" t="n">
        <v>0.9</v>
      </c>
      <c r="F78" s="0" t="n">
        <v>17.5</v>
      </c>
      <c r="G78" s="0" t="n">
        <v>0.4</v>
      </c>
      <c r="H78" s="0" t="n">
        <v>0.9</v>
      </c>
    </row>
    <row r="79" customFormat="false" ht="15" hidden="false" customHeight="false" outlineLevel="0" collapsed="false">
      <c r="A79" s="0" t="s">
        <v>83</v>
      </c>
      <c r="C79" s="0" t="s">
        <v>83</v>
      </c>
      <c r="D79" s="0" t="n">
        <v>374</v>
      </c>
      <c r="E79" s="0" t="n">
        <v>80</v>
      </c>
      <c r="F79" s="0" t="n">
        <v>8</v>
      </c>
      <c r="G79" s="0" t="n">
        <v>4</v>
      </c>
      <c r="H79" s="0" t="n">
        <v>0</v>
      </c>
    </row>
    <row r="80" customFormat="false" ht="15" hidden="false" customHeight="false" outlineLevel="0" collapsed="false">
      <c r="A80" s="0" t="s">
        <v>84</v>
      </c>
      <c r="C80" s="0" t="s">
        <v>84</v>
      </c>
      <c r="D80" s="0" t="n">
        <v>67</v>
      </c>
      <c r="E80" s="0" t="n">
        <v>6.7</v>
      </c>
      <c r="F80" s="0" t="n">
        <v>10</v>
      </c>
      <c r="G80" s="0" t="n">
        <v>0</v>
      </c>
      <c r="H8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1" t="s">
        <v>85</v>
      </c>
      <c r="C2" s="1"/>
      <c r="D2" s="1"/>
      <c r="E2" s="1"/>
      <c r="F2" s="1"/>
      <c r="G2" s="1"/>
      <c r="H2" s="1"/>
      <c r="I2" s="1"/>
    </row>
    <row r="3" customFormat="false" ht="15.75" hidden="false" customHeight="true" outlineLevel="0" collapsed="false">
      <c r="B3" s="2" t="s">
        <v>86</v>
      </c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B4" s="3" t="s">
        <v>87</v>
      </c>
      <c r="C4" s="4" t="n">
        <v>2000</v>
      </c>
      <c r="D4" s="3" t="s">
        <v>88</v>
      </c>
      <c r="E4" s="4" t="n">
        <v>70</v>
      </c>
      <c r="F4" s="3" t="s">
        <v>89</v>
      </c>
      <c r="G4" s="4" t="s">
        <v>90</v>
      </c>
    </row>
    <row r="5" customFormat="false" ht="6" hidden="false" customHeight="true" outlineLevel="0" collapsed="false"/>
    <row r="6" customFormat="false" ht="39.75" hidden="false" customHeight="true" outlineLevel="0" collapsed="false">
      <c r="B6" s="5" t="s">
        <v>91</v>
      </c>
      <c r="C6" s="5" t="s">
        <v>92</v>
      </c>
      <c r="D6" s="6" t="s">
        <v>93</v>
      </c>
      <c r="E6" s="7" t="s">
        <v>94</v>
      </c>
      <c r="F6" s="6" t="s">
        <v>95</v>
      </c>
      <c r="G6" s="8" t="s">
        <v>96</v>
      </c>
      <c r="H6" s="9" t="s">
        <v>97</v>
      </c>
      <c r="I6" s="5" t="s">
        <v>98</v>
      </c>
    </row>
    <row r="7" customFormat="false" ht="4.5" hidden="false" customHeight="true" outlineLevel="0" collapsed="false"/>
    <row r="8" customFormat="false" ht="24" hidden="false" customHeight="true" outlineLevel="0" collapsed="false">
      <c r="B8" s="10" t="s">
        <v>99</v>
      </c>
      <c r="C8" s="10"/>
      <c r="D8" s="10"/>
      <c r="E8" s="10"/>
      <c r="F8" s="10"/>
      <c r="G8" s="10"/>
      <c r="H8" s="10"/>
      <c r="I8" s="10"/>
    </row>
    <row r="9" customFormat="false" ht="19.5" hidden="false" customHeight="true" outlineLevel="0" collapsed="false">
      <c r="B9" s="11" t="s">
        <v>100</v>
      </c>
      <c r="C9" s="12" t="s">
        <v>23</v>
      </c>
      <c r="D9" s="13" t="n">
        <v>200</v>
      </c>
      <c r="E9" s="14" t="n">
        <f aca="false">IFERROR(VLOOKUP(C9,_Listas!$C$2:$H$80,2,0)*D9/100,0)</f>
        <v>4</v>
      </c>
      <c r="F9" s="14" t="n">
        <f aca="false">IFERROR(VLOOKUP(C9,_Listas!$C$2:$H$80,3,0)*D9/100,0)</f>
        <v>0.6</v>
      </c>
      <c r="G9" s="14" t="n">
        <f aca="false">IFERROR(VLOOKUP(C9,_Listas!$C$2:$H$80,4,0)*D9/100,0)</f>
        <v>0</v>
      </c>
      <c r="H9" s="14" t="n">
        <f aca="false">IFERROR(VLOOKUP(C9,_Listas!$C$2:$H$80,5,0)*D9/100,0)</f>
        <v>0</v>
      </c>
      <c r="I9" s="15" t="s">
        <v>101</v>
      </c>
    </row>
    <row r="10" customFormat="false" ht="19.5" hidden="false" customHeight="true" outlineLevel="0" collapsed="false">
      <c r="B10" s="16"/>
      <c r="C10" s="12" t="s">
        <v>69</v>
      </c>
      <c r="D10" s="13" t="n">
        <v>60</v>
      </c>
      <c r="E10" s="17" t="n">
        <f aca="false">IFERROR(VLOOKUP(C10,_Listas!$C$2:$H$80,2,0)*D10/100,0)</f>
        <v>180</v>
      </c>
      <c r="F10" s="17" t="n">
        <f aca="false">IFERROR(VLOOKUP(C10,_Listas!$C$2:$H$80,3,0)*D10/100,0)</f>
        <v>4.8</v>
      </c>
      <c r="G10" s="17" t="n">
        <f aca="false">IFERROR(VLOOKUP(C10,_Listas!$C$2:$H$80,4,0)*D10/100,0)</f>
        <v>35.16</v>
      </c>
      <c r="H10" s="17" t="n">
        <f aca="false">IFERROR(VLOOKUP(C10,_Listas!$C$2:$H$80,5,0)*D10/100,0)</f>
        <v>1.86</v>
      </c>
      <c r="I10" s="18" t="s">
        <v>102</v>
      </c>
    </row>
    <row r="11" customFormat="false" ht="19.5" hidden="false" customHeight="true" outlineLevel="0" collapsed="false">
      <c r="B11" s="16"/>
      <c r="C11" s="12" t="s">
        <v>73</v>
      </c>
      <c r="D11" s="13" t="n">
        <v>15</v>
      </c>
      <c r="E11" s="14" t="n">
        <f aca="false">IFERROR(VLOOKUP(C11,_Listas!$C$2:$H$80,2,0)*D11/100,0)</f>
        <v>36</v>
      </c>
      <c r="F11" s="14" t="n">
        <f aca="false">IFERROR(VLOOKUP(C11,_Listas!$C$2:$H$80,3,0)*D11/100,0)</f>
        <v>1.05</v>
      </c>
      <c r="G11" s="14" t="n">
        <f aca="false">IFERROR(VLOOKUP(C11,_Listas!$C$2:$H$80,4,0)*D11/100,0)</f>
        <v>0.525</v>
      </c>
      <c r="H11" s="14" t="n">
        <f aca="false">IFERROR(VLOOKUP(C11,_Listas!$C$2:$H$80,5,0)*D11/100,0)</f>
        <v>3.3</v>
      </c>
      <c r="I11" s="15" t="s">
        <v>103</v>
      </c>
    </row>
    <row r="12" customFormat="false" ht="19.5" hidden="false" customHeight="true" outlineLevel="0" collapsed="false">
      <c r="B12" s="16"/>
      <c r="C12" s="12" t="s">
        <v>72</v>
      </c>
      <c r="D12" s="13" t="n">
        <v>20</v>
      </c>
      <c r="E12" s="17" t="n">
        <f aca="false">IFERROR(VLOOKUP(C12,_Listas!$C$2:$H$80,2,0)*D12/100,0)</f>
        <v>57.8</v>
      </c>
      <c r="F12" s="17" t="n">
        <f aca="false">IFERROR(VLOOKUP(C12,_Listas!$C$2:$H$80,3,0)*D12/100,0)</f>
        <v>3.6</v>
      </c>
      <c r="G12" s="17" t="n">
        <f aca="false">IFERROR(VLOOKUP(C12,_Listas!$C$2:$H$80,4,0)*D12/100,0)</f>
        <v>0.52</v>
      </c>
      <c r="H12" s="17" t="n">
        <f aca="false">IFERROR(VLOOKUP(C12,_Listas!$C$2:$H$80,5,0)*D12/100,0)</f>
        <v>4.58</v>
      </c>
      <c r="I12" s="18" t="s">
        <v>104</v>
      </c>
    </row>
    <row r="13" customFormat="false" ht="19.5" hidden="false" customHeight="true" outlineLevel="0" collapsed="false">
      <c r="B13" s="16"/>
      <c r="C13" s="12" t="s">
        <v>16</v>
      </c>
      <c r="D13" s="13" t="n">
        <v>70</v>
      </c>
      <c r="E13" s="14" t="n">
        <f aca="false">IFERROR(VLOOKUP(C13,_Listas!$C$2:$H$80,2,0)*D13/100,0)</f>
        <v>64.4</v>
      </c>
      <c r="F13" s="14" t="n">
        <f aca="false">IFERROR(VLOOKUP(C13,_Listas!$C$2:$H$80,3,0)*D13/100,0)</f>
        <v>0.91</v>
      </c>
      <c r="G13" s="14" t="n">
        <f aca="false">IFERROR(VLOOKUP(C13,_Listas!$C$2:$H$80,4,0)*D13/100,0)</f>
        <v>16.66</v>
      </c>
      <c r="H13" s="14" t="n">
        <f aca="false">IFERROR(VLOOKUP(C13,_Listas!$C$2:$H$80,5,0)*D13/100,0)</f>
        <v>0.07</v>
      </c>
      <c r="I13" s="15" t="s">
        <v>105</v>
      </c>
    </row>
    <row r="14" customFormat="false" ht="19.5" hidden="false" customHeight="true" outlineLevel="0" collapsed="false">
      <c r="B14" s="16"/>
      <c r="C14" s="12" t="s">
        <v>32</v>
      </c>
      <c r="D14" s="13" t="n">
        <v>6</v>
      </c>
      <c r="E14" s="17" t="n">
        <f aca="false">IFERROR(VLOOKUP(C14,_Listas!$C$2:$H$80,2,0)*D14/100,0)</f>
        <v>0</v>
      </c>
      <c r="F14" s="17" t="n">
        <f aca="false">IFERROR(VLOOKUP(C14,_Listas!$C$2:$H$80,3,0)*D14/100,0)</f>
        <v>0</v>
      </c>
      <c r="G14" s="17" t="n">
        <f aca="false">IFERROR(VLOOKUP(C14,_Listas!$C$2:$H$80,4,0)*D14/100,0)</f>
        <v>0</v>
      </c>
      <c r="H14" s="17" t="n">
        <f aca="false">IFERROR(VLOOKUP(C14,_Listas!$C$2:$H$80,5,0)*D14/100,0)</f>
        <v>0</v>
      </c>
      <c r="I14" s="18" t="s">
        <v>106</v>
      </c>
    </row>
    <row r="15" customFormat="false" ht="18" hidden="false" customHeight="true" outlineLevel="0" collapsed="false">
      <c r="B15" s="19" t="s">
        <v>107</v>
      </c>
      <c r="C15" s="19"/>
      <c r="D15" s="20" t="n">
        <f aca="false">SUM(D9:D14)</f>
        <v>371</v>
      </c>
      <c r="E15" s="20" t="n">
        <f aca="false">SUM(E9:E14)</f>
        <v>342.2</v>
      </c>
      <c r="F15" s="20" t="n">
        <f aca="false">SUM(F9:F14)</f>
        <v>10.96</v>
      </c>
      <c r="G15" s="20" t="n">
        <f aca="false">SUM(G9:G14)</f>
        <v>52.865</v>
      </c>
      <c r="H15" s="20" t="n">
        <f aca="false">SUM(H9:H14)</f>
        <v>9.81</v>
      </c>
      <c r="I15" s="21"/>
    </row>
    <row r="16" customFormat="false" ht="3.75" hidden="false" customHeight="true" outlineLevel="0" collapsed="false"/>
    <row r="17" customFormat="false" ht="24" hidden="false" customHeight="true" outlineLevel="0" collapsed="false">
      <c r="B17" s="22" t="s">
        <v>108</v>
      </c>
      <c r="C17" s="22"/>
      <c r="D17" s="22"/>
      <c r="E17" s="22"/>
      <c r="F17" s="22"/>
      <c r="G17" s="22"/>
      <c r="H17" s="22"/>
      <c r="I17" s="22"/>
    </row>
    <row r="18" customFormat="false" ht="19.5" hidden="false" customHeight="true" outlineLevel="0" collapsed="false">
      <c r="B18" s="23" t="s">
        <v>109</v>
      </c>
      <c r="C18" s="12" t="s">
        <v>84</v>
      </c>
      <c r="D18" s="13" t="n">
        <v>300</v>
      </c>
      <c r="E18" s="24" t="n">
        <f aca="false">IFERROR(VLOOKUP(C18,_Listas!$C$2:$H$80,2,0)*D18/100,0)</f>
        <v>201</v>
      </c>
      <c r="F18" s="24" t="n">
        <f aca="false">IFERROR(VLOOKUP(C18,_Listas!$C$2:$H$80,3,0)*D18/100,0)</f>
        <v>20.1</v>
      </c>
      <c r="G18" s="24" t="n">
        <f aca="false">IFERROR(VLOOKUP(C18,_Listas!$C$2:$H$80,4,0)*D18/100,0)</f>
        <v>30</v>
      </c>
      <c r="H18" s="24" t="n">
        <f aca="false">IFERROR(VLOOKUP(C18,_Listas!$C$2:$H$80,5,0)*D18/100,0)</f>
        <v>0</v>
      </c>
      <c r="I18" s="25" t="s">
        <v>102</v>
      </c>
    </row>
    <row r="19" customFormat="false" ht="18" hidden="false" customHeight="true" outlineLevel="0" collapsed="false">
      <c r="B19" s="26" t="s">
        <v>110</v>
      </c>
      <c r="C19" s="26"/>
      <c r="D19" s="27" t="n">
        <f aca="false">SUM(D18:D18)</f>
        <v>300</v>
      </c>
      <c r="E19" s="27" t="n">
        <f aca="false">SUM(E18:E18)</f>
        <v>201</v>
      </c>
      <c r="F19" s="27" t="n">
        <f aca="false">SUM(F18:F18)</f>
        <v>20.1</v>
      </c>
      <c r="G19" s="27" t="n">
        <f aca="false">SUM(G18:G18)</f>
        <v>30</v>
      </c>
      <c r="H19" s="27" t="n">
        <f aca="false">SUM(H18:H18)</f>
        <v>0</v>
      </c>
      <c r="I19" s="28"/>
    </row>
    <row r="20" customFormat="false" ht="3.75" hidden="false" customHeight="true" outlineLevel="0" collapsed="false"/>
    <row r="21" customFormat="false" ht="24" hidden="false" customHeight="true" outlineLevel="0" collapsed="false">
      <c r="B21" s="29" t="s">
        <v>111</v>
      </c>
      <c r="C21" s="29"/>
      <c r="D21" s="29"/>
      <c r="E21" s="29"/>
      <c r="F21" s="29"/>
      <c r="G21" s="29"/>
      <c r="H21" s="29"/>
      <c r="I21" s="29"/>
    </row>
    <row r="22" customFormat="false" ht="19.5" hidden="false" customHeight="true" outlineLevel="0" collapsed="false">
      <c r="B22" s="30" t="s">
        <v>112</v>
      </c>
      <c r="C22" s="12" t="s">
        <v>18</v>
      </c>
      <c r="D22" s="13" t="n">
        <v>150</v>
      </c>
      <c r="E22" s="31" t="n">
        <f aca="false">IFERROR(VLOOKUP(C22,_Listas!$C$2:$H$80,2,0)*D22/100,0)</f>
        <v>139.5</v>
      </c>
      <c r="F22" s="31" t="n">
        <f aca="false">IFERROR(VLOOKUP(C22,_Listas!$C$2:$H$80,3,0)*D22/100,0)</f>
        <v>3.75</v>
      </c>
      <c r="G22" s="31" t="n">
        <f aca="false">IFERROR(VLOOKUP(C22,_Listas!$C$2:$H$80,4,0)*D22/100,0)</f>
        <v>31.5</v>
      </c>
      <c r="H22" s="31" t="n">
        <f aca="false">IFERROR(VLOOKUP(C22,_Listas!$C$2:$H$80,5,0)*D22/100,0)</f>
        <v>0.15</v>
      </c>
      <c r="I22" s="32" t="s">
        <v>113</v>
      </c>
    </row>
    <row r="23" customFormat="false" ht="19.5" hidden="false" customHeight="true" outlineLevel="0" collapsed="false">
      <c r="B23" s="33"/>
      <c r="C23" s="12" t="s">
        <v>34</v>
      </c>
      <c r="D23" s="13" t="n">
        <v>120</v>
      </c>
      <c r="E23" s="17" t="n">
        <f aca="false">IFERROR(VLOOKUP(C23,_Listas!$C$2:$H$80,2,0)*D23/100,0)</f>
        <v>92.4</v>
      </c>
      <c r="F23" s="17" t="n">
        <f aca="false">IFERROR(VLOOKUP(C23,_Listas!$C$2:$H$80,3,0)*D23/100,0)</f>
        <v>5.4</v>
      </c>
      <c r="G23" s="17" t="n">
        <f aca="false">IFERROR(VLOOKUP(C23,_Listas!$C$2:$H$80,4,0)*D23/100,0)</f>
        <v>16.32</v>
      </c>
      <c r="H23" s="17" t="n">
        <f aca="false">IFERROR(VLOOKUP(C23,_Listas!$C$2:$H$80,5,0)*D23/100,0)</f>
        <v>0.6</v>
      </c>
      <c r="I23" s="18" t="s">
        <v>114</v>
      </c>
    </row>
    <row r="24" customFormat="false" ht="19.5" hidden="false" customHeight="true" outlineLevel="0" collapsed="false">
      <c r="B24" s="33"/>
      <c r="C24" s="12" t="s">
        <v>53</v>
      </c>
      <c r="D24" s="13" t="n">
        <v>100</v>
      </c>
      <c r="E24" s="31" t="n">
        <f aca="false">IFERROR(VLOOKUP(C24,_Listas!$C$2:$H$80,2,0)*D24/100,0)</f>
        <v>26</v>
      </c>
      <c r="F24" s="31" t="n">
        <f aca="false">IFERROR(VLOOKUP(C24,_Listas!$C$2:$H$80,3,0)*D24/100,0)</f>
        <v>0.7</v>
      </c>
      <c r="G24" s="31" t="n">
        <f aca="false">IFERROR(VLOOKUP(C24,_Listas!$C$2:$H$80,4,0)*D24/100,0)</f>
        <v>6</v>
      </c>
      <c r="H24" s="31" t="n">
        <f aca="false">IFERROR(VLOOKUP(C24,_Listas!$C$2:$H$80,5,0)*D24/100,0)</f>
        <v>0.1</v>
      </c>
      <c r="I24" s="32" t="s">
        <v>115</v>
      </c>
    </row>
    <row r="25" customFormat="false" ht="19.5" hidden="false" customHeight="true" outlineLevel="0" collapsed="false">
      <c r="B25" s="33"/>
      <c r="C25" s="12" t="s">
        <v>76</v>
      </c>
      <c r="D25" s="13" t="n">
        <v>150</v>
      </c>
      <c r="E25" s="17" t="n">
        <f aca="false">IFERROR(VLOOKUP(C25,_Listas!$C$2:$H$80,2,0)*D25/100,0)</f>
        <v>322.5</v>
      </c>
      <c r="F25" s="17" t="n">
        <f aca="false">IFERROR(VLOOKUP(C25,_Listas!$C$2:$H$80,3,0)*D25/100,0)</f>
        <v>31.5</v>
      </c>
      <c r="G25" s="17" t="n">
        <f aca="false">IFERROR(VLOOKUP(C25,_Listas!$C$2:$H$80,4,0)*D25/100,0)</f>
        <v>0</v>
      </c>
      <c r="H25" s="17" t="n">
        <f aca="false">IFERROR(VLOOKUP(C25,_Listas!$C$2:$H$80,5,0)*D25/100,0)</f>
        <v>21</v>
      </c>
      <c r="I25" s="18" t="s">
        <v>116</v>
      </c>
    </row>
    <row r="26" customFormat="false" ht="19.5" hidden="false" customHeight="true" outlineLevel="0" collapsed="false">
      <c r="B26" s="33"/>
      <c r="C26" s="12" t="s">
        <v>49</v>
      </c>
      <c r="D26" s="13" t="n">
        <v>150</v>
      </c>
      <c r="E26" s="31" t="n">
        <f aca="false">IFERROR(VLOOKUP(C26,_Listas!$C$2:$H$80,2,0)*D26/100,0)</f>
        <v>49.5</v>
      </c>
      <c r="F26" s="31" t="n">
        <f aca="false">IFERROR(VLOOKUP(C26,_Listas!$C$2:$H$80,3,0)*D26/100,0)</f>
        <v>1.05</v>
      </c>
      <c r="G26" s="31" t="n">
        <f aca="false">IFERROR(VLOOKUP(C26,_Listas!$C$2:$H$80,4,0)*D26/100,0)</f>
        <v>12</v>
      </c>
      <c r="H26" s="31" t="n">
        <f aca="false">IFERROR(VLOOKUP(C26,_Listas!$C$2:$H$80,5,0)*D26/100,0)</f>
        <v>0.3</v>
      </c>
      <c r="I26" s="32" t="s">
        <v>104</v>
      </c>
    </row>
    <row r="27" customFormat="false" ht="18" hidden="false" customHeight="true" outlineLevel="0" collapsed="false">
      <c r="B27" s="34" t="s">
        <v>117</v>
      </c>
      <c r="C27" s="34"/>
      <c r="D27" s="35" t="n">
        <f aca="false">SUM(D22:D26)</f>
        <v>670</v>
      </c>
      <c r="E27" s="35" t="n">
        <f aca="false">SUM(E22:E26)</f>
        <v>629.9</v>
      </c>
      <c r="F27" s="35" t="n">
        <f aca="false">SUM(F22:F26)</f>
        <v>42.4</v>
      </c>
      <c r="G27" s="35" t="n">
        <f aca="false">SUM(G22:G26)</f>
        <v>65.82</v>
      </c>
      <c r="H27" s="35" t="n">
        <f aca="false">SUM(H22:H26)</f>
        <v>22.15</v>
      </c>
      <c r="I27" s="36"/>
    </row>
    <row r="28" customFormat="false" ht="3.75" hidden="false" customHeight="true" outlineLevel="0" collapsed="false"/>
    <row r="29" customFormat="false" ht="24" hidden="false" customHeight="true" outlineLevel="0" collapsed="false">
      <c r="B29" s="37" t="s">
        <v>118</v>
      </c>
      <c r="C29" s="37"/>
      <c r="D29" s="37"/>
      <c r="E29" s="37"/>
      <c r="F29" s="37"/>
      <c r="G29" s="37"/>
      <c r="H29" s="37"/>
      <c r="I29" s="37"/>
    </row>
    <row r="30" customFormat="false" ht="19.5" hidden="false" customHeight="true" outlineLevel="0" collapsed="false">
      <c r="B30" s="38" t="s">
        <v>119</v>
      </c>
      <c r="C30" s="12" t="s">
        <v>23</v>
      </c>
      <c r="D30" s="13" t="n">
        <v>200</v>
      </c>
      <c r="E30" s="39" t="n">
        <f aca="false">IFERROR(VLOOKUP(C30,_Listas!$C$2:$H$80,2,0)*D30/100,0)</f>
        <v>4</v>
      </c>
      <c r="F30" s="39" t="n">
        <f aca="false">IFERROR(VLOOKUP(C30,_Listas!$C$2:$H$80,3,0)*D30/100,0)</f>
        <v>0.6</v>
      </c>
      <c r="G30" s="39" t="n">
        <f aca="false">IFERROR(VLOOKUP(C30,_Listas!$C$2:$H$80,4,0)*D30/100,0)</f>
        <v>0</v>
      </c>
      <c r="H30" s="39" t="n">
        <f aca="false">IFERROR(VLOOKUP(C30,_Listas!$C$2:$H$80,5,0)*D30/100,0)</f>
        <v>0</v>
      </c>
      <c r="I30" s="40" t="s">
        <v>101</v>
      </c>
    </row>
    <row r="31" customFormat="false" ht="19.5" hidden="false" customHeight="true" outlineLevel="0" collapsed="false">
      <c r="B31" s="41"/>
      <c r="C31" s="12" t="s">
        <v>69</v>
      </c>
      <c r="D31" s="13" t="n">
        <v>60</v>
      </c>
      <c r="E31" s="17" t="n">
        <f aca="false">IFERROR(VLOOKUP(C31,_Listas!$C$2:$H$80,2,0)*D31/100,0)</f>
        <v>180</v>
      </c>
      <c r="F31" s="17" t="n">
        <f aca="false">IFERROR(VLOOKUP(C31,_Listas!$C$2:$H$80,3,0)*D31/100,0)</f>
        <v>4.8</v>
      </c>
      <c r="G31" s="17" t="n">
        <f aca="false">IFERROR(VLOOKUP(C31,_Listas!$C$2:$H$80,4,0)*D31/100,0)</f>
        <v>35.16</v>
      </c>
      <c r="H31" s="17" t="n">
        <f aca="false">IFERROR(VLOOKUP(C31,_Listas!$C$2:$H$80,5,0)*D31/100,0)</f>
        <v>1.86</v>
      </c>
      <c r="I31" s="18" t="s">
        <v>102</v>
      </c>
    </row>
    <row r="32" customFormat="false" ht="19.5" hidden="false" customHeight="true" outlineLevel="0" collapsed="false">
      <c r="B32" s="41"/>
      <c r="C32" s="12" t="s">
        <v>35</v>
      </c>
      <c r="D32" s="13" t="n">
        <v>50</v>
      </c>
      <c r="E32" s="39" t="n">
        <f aca="false">IFERROR(VLOOKUP(C32,_Listas!$C$2:$H$80,2,0)*D32/100,0)</f>
        <v>81.5</v>
      </c>
      <c r="F32" s="39" t="n">
        <f aca="false">IFERROR(VLOOKUP(C32,_Listas!$C$2:$H$80,3,0)*D32/100,0)</f>
        <v>15.75</v>
      </c>
      <c r="G32" s="39" t="n">
        <f aca="false">IFERROR(VLOOKUP(C32,_Listas!$C$2:$H$80,4,0)*D32/100,0)</f>
        <v>0</v>
      </c>
      <c r="H32" s="39" t="n">
        <f aca="false">IFERROR(VLOOKUP(C32,_Listas!$C$2:$H$80,5,0)*D32/100,0)</f>
        <v>1.85</v>
      </c>
      <c r="I32" s="40" t="s">
        <v>120</v>
      </c>
    </row>
    <row r="33" customFormat="false" ht="19.5" hidden="false" customHeight="true" outlineLevel="0" collapsed="false">
      <c r="B33" s="41"/>
      <c r="C33" s="12" t="s">
        <v>50</v>
      </c>
      <c r="D33" s="13" t="n">
        <v>150</v>
      </c>
      <c r="E33" s="17" t="n">
        <f aca="false">IFERROR(VLOOKUP(C33,_Listas!$C$2:$H$80,2,0)*D33/100,0)</f>
        <v>43.5</v>
      </c>
      <c r="F33" s="17" t="n">
        <f aca="false">IFERROR(VLOOKUP(C33,_Listas!$C$2:$H$80,3,0)*D33/100,0)</f>
        <v>1.05</v>
      </c>
      <c r="G33" s="17" t="n">
        <f aca="false">IFERROR(VLOOKUP(C33,_Listas!$C$2:$H$80,4,0)*D33/100,0)</f>
        <v>11.1</v>
      </c>
      <c r="H33" s="17" t="n">
        <f aca="false">IFERROR(VLOOKUP(C33,_Listas!$C$2:$H$80,5,0)*D33/100,0)</f>
        <v>0.15</v>
      </c>
      <c r="I33" s="18" t="s">
        <v>104</v>
      </c>
    </row>
    <row r="34" customFormat="false" ht="18" hidden="false" customHeight="true" outlineLevel="0" collapsed="false">
      <c r="B34" s="42" t="s">
        <v>121</v>
      </c>
      <c r="C34" s="42"/>
      <c r="D34" s="43" t="n">
        <f aca="false">SUM(D30:D33)</f>
        <v>460</v>
      </c>
      <c r="E34" s="43" t="n">
        <f aca="false">SUM(E30:E33)</f>
        <v>309</v>
      </c>
      <c r="F34" s="43" t="n">
        <f aca="false">SUM(F30:F33)</f>
        <v>22.2</v>
      </c>
      <c r="G34" s="43" t="n">
        <f aca="false">SUM(G30:G33)</f>
        <v>46.26</v>
      </c>
      <c r="H34" s="43" t="n">
        <f aca="false">SUM(H30:H33)</f>
        <v>3.86</v>
      </c>
      <c r="I34" s="44"/>
    </row>
    <row r="35" customFormat="false" ht="3.75" hidden="false" customHeight="true" outlineLevel="0" collapsed="false"/>
    <row r="36" customFormat="false" ht="24" hidden="false" customHeight="true" outlineLevel="0" collapsed="false">
      <c r="B36" s="45" t="s">
        <v>122</v>
      </c>
      <c r="C36" s="45"/>
      <c r="D36" s="45"/>
      <c r="E36" s="45"/>
      <c r="F36" s="45"/>
      <c r="G36" s="45"/>
      <c r="H36" s="45"/>
      <c r="I36" s="45"/>
    </row>
    <row r="37" customFormat="false" ht="19.5" hidden="false" customHeight="true" outlineLevel="0" collapsed="false">
      <c r="B37" s="46" t="s">
        <v>123</v>
      </c>
      <c r="C37" s="12" t="s">
        <v>13</v>
      </c>
      <c r="D37" s="13" t="n">
        <v>140</v>
      </c>
      <c r="E37" s="47" t="n">
        <f aca="false">IFERROR(VLOOKUP(C37,_Listas!$C$2:$H$80,2,0)*D37/100,0)</f>
        <v>179.2</v>
      </c>
      <c r="F37" s="47" t="n">
        <f aca="false">IFERROR(VLOOKUP(C37,_Listas!$C$2:$H$80,3,0)*D37/100,0)</f>
        <v>3.5</v>
      </c>
      <c r="G37" s="47" t="n">
        <f aca="false">IFERROR(VLOOKUP(C37,_Listas!$C$2:$H$80,4,0)*D37/100,0)</f>
        <v>39.34</v>
      </c>
      <c r="H37" s="47" t="n">
        <f aca="false">IFERROR(VLOOKUP(C37,_Listas!$C$2:$H$80,5,0)*D37/100,0)</f>
        <v>0.28</v>
      </c>
      <c r="I37" s="48" t="s">
        <v>124</v>
      </c>
    </row>
    <row r="38" customFormat="false" ht="19.5" hidden="false" customHeight="true" outlineLevel="0" collapsed="false">
      <c r="B38" s="49"/>
      <c r="C38" s="12" t="s">
        <v>34</v>
      </c>
      <c r="D38" s="13" t="n">
        <v>120</v>
      </c>
      <c r="E38" s="17" t="n">
        <f aca="false">IFERROR(VLOOKUP(C38,_Listas!$C$2:$H$80,2,0)*D38/100,0)</f>
        <v>92.4</v>
      </c>
      <c r="F38" s="17" t="n">
        <f aca="false">IFERROR(VLOOKUP(C38,_Listas!$C$2:$H$80,3,0)*D38/100,0)</f>
        <v>5.4</v>
      </c>
      <c r="G38" s="17" t="n">
        <f aca="false">IFERROR(VLOOKUP(C38,_Listas!$C$2:$H$80,4,0)*D38/100,0)</f>
        <v>16.32</v>
      </c>
      <c r="H38" s="17" t="n">
        <f aca="false">IFERROR(VLOOKUP(C38,_Listas!$C$2:$H$80,5,0)*D38/100,0)</f>
        <v>0.6</v>
      </c>
      <c r="I38" s="18" t="s">
        <v>114</v>
      </c>
    </row>
    <row r="39" customFormat="false" ht="19.5" hidden="false" customHeight="true" outlineLevel="0" collapsed="false">
      <c r="B39" s="49"/>
      <c r="C39" s="12" t="s">
        <v>35</v>
      </c>
      <c r="D39" s="13" t="n">
        <v>140</v>
      </c>
      <c r="E39" s="47" t="n">
        <f aca="false">IFERROR(VLOOKUP(C39,_Listas!$C$2:$H$80,2,0)*D39/100,0)</f>
        <v>228.2</v>
      </c>
      <c r="F39" s="47" t="n">
        <f aca="false">IFERROR(VLOOKUP(C39,_Listas!$C$2:$H$80,3,0)*D39/100,0)</f>
        <v>44.1</v>
      </c>
      <c r="G39" s="47" t="n">
        <f aca="false">IFERROR(VLOOKUP(C39,_Listas!$C$2:$H$80,4,0)*D39/100,0)</f>
        <v>0</v>
      </c>
      <c r="H39" s="47" t="n">
        <f aca="false">IFERROR(VLOOKUP(C39,_Listas!$C$2:$H$80,5,0)*D39/100,0)</f>
        <v>5.18</v>
      </c>
      <c r="I39" s="48" t="s">
        <v>125</v>
      </c>
    </row>
    <row r="40" customFormat="false" ht="19.5" hidden="false" customHeight="true" outlineLevel="0" collapsed="false">
      <c r="B40" s="49"/>
      <c r="C40" s="12" t="s">
        <v>50</v>
      </c>
      <c r="D40" s="13" t="n">
        <v>150</v>
      </c>
      <c r="E40" s="17" t="n">
        <f aca="false">IFERROR(VLOOKUP(C40,_Listas!$C$2:$H$80,2,0)*D40/100,0)</f>
        <v>43.5</v>
      </c>
      <c r="F40" s="17" t="n">
        <f aca="false">IFERROR(VLOOKUP(C40,_Listas!$C$2:$H$80,3,0)*D40/100,0)</f>
        <v>1.05</v>
      </c>
      <c r="G40" s="17" t="n">
        <f aca="false">IFERROR(VLOOKUP(C40,_Listas!$C$2:$H$80,4,0)*D40/100,0)</f>
        <v>11.1</v>
      </c>
      <c r="H40" s="17" t="n">
        <f aca="false">IFERROR(VLOOKUP(C40,_Listas!$C$2:$H$80,5,0)*D40/100,0)</f>
        <v>0.15</v>
      </c>
      <c r="I40" s="18" t="s">
        <v>104</v>
      </c>
    </row>
    <row r="41" customFormat="false" ht="18" hidden="false" customHeight="true" outlineLevel="0" collapsed="false">
      <c r="B41" s="50" t="s">
        <v>126</v>
      </c>
      <c r="C41" s="50"/>
      <c r="D41" s="51" t="n">
        <f aca="false">SUM(D37:D40)</f>
        <v>550</v>
      </c>
      <c r="E41" s="51" t="n">
        <f aca="false">SUM(E37:E40)</f>
        <v>543.3</v>
      </c>
      <c r="F41" s="51" t="n">
        <f aca="false">SUM(F37:F40)</f>
        <v>54.05</v>
      </c>
      <c r="G41" s="51" t="n">
        <f aca="false">SUM(G37:G40)</f>
        <v>66.76</v>
      </c>
      <c r="H41" s="51" t="n">
        <f aca="false">SUM(H37:H40)</f>
        <v>6.21</v>
      </c>
      <c r="I41" s="52"/>
    </row>
    <row r="42" customFormat="false" ht="3.75" hidden="false" customHeight="true" outlineLevel="0" collapsed="false"/>
    <row r="43" customFormat="false" ht="19.5" hidden="false" customHeight="true" outlineLevel="0" collapsed="false">
      <c r="B43" s="53" t="s">
        <v>127</v>
      </c>
      <c r="C43" s="53"/>
      <c r="D43" s="53"/>
      <c r="E43" s="53"/>
      <c r="F43" s="53"/>
      <c r="G43" s="53"/>
      <c r="H43" s="53"/>
      <c r="I43" s="53"/>
    </row>
    <row r="44" customFormat="false" ht="19.5" hidden="false" customHeight="true" outlineLevel="0" collapsed="false">
      <c r="B44" s="54" t="s">
        <v>128</v>
      </c>
      <c r="C44" s="12" t="s">
        <v>77</v>
      </c>
      <c r="D44" s="13" t="n">
        <v>200</v>
      </c>
      <c r="E44" s="55" t="n">
        <f aca="false">IFERROR(VLOOKUP(C44,_Listas!$C$2:$H$80,2,0)*D44/100,0)</f>
        <v>90</v>
      </c>
      <c r="F44" s="55" t="n">
        <f aca="false">IFERROR(VLOOKUP(C44,_Listas!$C$2:$H$80,3,0)*D44/100,0)</f>
        <v>1.4</v>
      </c>
      <c r="G44" s="55" t="n">
        <f aca="false">IFERROR(VLOOKUP(C44,_Listas!$C$2:$H$80,4,0)*D44/100,0)</f>
        <v>21.4</v>
      </c>
      <c r="H44" s="55" t="n">
        <f aca="false">IFERROR(VLOOKUP(C44,_Listas!$C$2:$H$80,5,0)*D44/100,0)</f>
        <v>0.4</v>
      </c>
      <c r="I44" s="56" t="s">
        <v>129</v>
      </c>
    </row>
    <row r="45" customFormat="false" ht="19.5" hidden="false" customHeight="true" outlineLevel="0" collapsed="false">
      <c r="B45" s="57"/>
      <c r="C45" s="12" t="s">
        <v>78</v>
      </c>
      <c r="D45" s="13" t="n">
        <v>30</v>
      </c>
      <c r="E45" s="17" t="n">
        <f aca="false">IFERROR(VLOOKUP(C45,_Listas!$C$2:$H$80,2,0)*D45/100,0)</f>
        <v>106.2</v>
      </c>
      <c r="F45" s="17" t="n">
        <f aca="false">IFERROR(VLOOKUP(C45,_Listas!$C$2:$H$80,3,0)*D45/100,0)</f>
        <v>0.03</v>
      </c>
      <c r="G45" s="17" t="n">
        <f aca="false">IFERROR(VLOOKUP(C45,_Listas!$C$2:$H$80,4,0)*D45/100,0)</f>
        <v>26.34</v>
      </c>
      <c r="H45" s="17" t="n">
        <f aca="false">IFERROR(VLOOKUP(C45,_Listas!$C$2:$H$80,5,0)*D45/100,0)</f>
        <v>0.09</v>
      </c>
      <c r="I45" s="18" t="s">
        <v>130</v>
      </c>
    </row>
    <row r="46" customFormat="false" ht="19.5" hidden="false" customHeight="true" outlineLevel="0" collapsed="false">
      <c r="B46" s="57"/>
      <c r="C46" s="12" t="s">
        <v>55</v>
      </c>
      <c r="D46" s="13" t="n">
        <v>100</v>
      </c>
      <c r="E46" s="55" t="n">
        <f aca="false">IFERROR(VLOOKUP(C46,_Listas!$C$2:$H$80,2,0)*D46/100,0)</f>
        <v>146</v>
      </c>
      <c r="F46" s="55" t="n">
        <f aca="false">IFERROR(VLOOKUP(C46,_Listas!$C$2:$H$80,3,0)*D46/100,0)</f>
        <v>13.3</v>
      </c>
      <c r="G46" s="55" t="n">
        <f aca="false">IFERROR(VLOOKUP(C46,_Listas!$C$2:$H$80,4,0)*D46/100,0)</f>
        <v>0.6</v>
      </c>
      <c r="H46" s="55" t="n">
        <f aca="false">IFERROR(VLOOKUP(C46,_Listas!$C$2:$H$80,5,0)*D46/100,0)</f>
        <v>10</v>
      </c>
      <c r="I46" s="56" t="s">
        <v>131</v>
      </c>
    </row>
    <row r="47" customFormat="false" ht="19.5" hidden="false" customHeight="true" outlineLevel="0" collapsed="false">
      <c r="B47" s="57"/>
      <c r="C47" s="12" t="s">
        <v>72</v>
      </c>
      <c r="D47" s="13" t="n">
        <v>20</v>
      </c>
      <c r="E47" s="17" t="n">
        <f aca="false">IFERROR(VLOOKUP(C47,_Listas!$C$2:$H$80,2,0)*D47/100,0)</f>
        <v>57.8</v>
      </c>
      <c r="F47" s="17" t="n">
        <f aca="false">IFERROR(VLOOKUP(C47,_Listas!$C$2:$H$80,3,0)*D47/100,0)</f>
        <v>3.6</v>
      </c>
      <c r="G47" s="17" t="n">
        <f aca="false">IFERROR(VLOOKUP(C47,_Listas!$C$2:$H$80,4,0)*D47/100,0)</f>
        <v>0.52</v>
      </c>
      <c r="H47" s="17" t="n">
        <f aca="false">IFERROR(VLOOKUP(C47,_Listas!$C$2:$H$80,5,0)*D47/100,0)</f>
        <v>4.58</v>
      </c>
      <c r="I47" s="18" t="s">
        <v>104</v>
      </c>
    </row>
    <row r="48" customFormat="false" ht="19.5" hidden="false" customHeight="true" outlineLevel="0" collapsed="false">
      <c r="B48" s="57"/>
      <c r="C48" s="12" t="s">
        <v>35</v>
      </c>
      <c r="D48" s="13" t="n">
        <v>80</v>
      </c>
      <c r="E48" s="55" t="n">
        <f aca="false">IFERROR(VLOOKUP(C48,_Listas!$C$2:$H$80,2,0)*D48/100,0)</f>
        <v>130.4</v>
      </c>
      <c r="F48" s="55" t="n">
        <f aca="false">IFERROR(VLOOKUP(C48,_Listas!$C$2:$H$80,3,0)*D48/100,0)</f>
        <v>25.2</v>
      </c>
      <c r="G48" s="55" t="n">
        <f aca="false">IFERROR(VLOOKUP(C48,_Listas!$C$2:$H$80,4,0)*D48/100,0)</f>
        <v>0</v>
      </c>
      <c r="H48" s="55" t="n">
        <f aca="false">IFERROR(VLOOKUP(C48,_Listas!$C$2:$H$80,5,0)*D48/100,0)</f>
        <v>2.96</v>
      </c>
      <c r="I48" s="56" t="s">
        <v>132</v>
      </c>
    </row>
    <row r="49" customFormat="false" ht="3.75" hidden="false" customHeight="true" outlineLevel="0" collapsed="false"/>
    <row r="50" customFormat="false" ht="31.5" hidden="false" customHeight="true" outlineLevel="0" collapsed="false">
      <c r="B50" s="58" t="s">
        <v>133</v>
      </c>
      <c r="C50" s="58"/>
      <c r="D50" s="59" t="n">
        <f aca="false">SUM(D9:D14,D18:D18,D22:D26,D30:D33,D37:D40)</f>
        <v>2351</v>
      </c>
      <c r="E50" s="59" t="n">
        <f aca="false">SUM(E9:E14,E18:E18,E22:E26,E30:E33,E37:E40)</f>
        <v>2025.4</v>
      </c>
      <c r="F50" s="59" t="n">
        <f aca="false">SUM(F9:F14,F18:F18,F22:F26,F30:F33,F37:F40)</f>
        <v>149.71</v>
      </c>
      <c r="G50" s="59" t="n">
        <f aca="false">SUM(G9:G14,G18:G18,G22:G26,G30:G33,G37:G40)</f>
        <v>261.705</v>
      </c>
      <c r="H50" s="59" t="n">
        <f aca="false">SUM(H9:H14,H18:H18,H22:H26,H30:H33,H37:H40)</f>
        <v>42.03</v>
      </c>
      <c r="I50" s="60"/>
    </row>
    <row r="51" customFormat="false" ht="21.75" hidden="false" customHeight="true" outlineLevel="0" collapsed="false">
      <c r="B51" s="61" t="s">
        <v>134</v>
      </c>
      <c r="C51" s="61"/>
      <c r="D51" s="62" t="str">
        <f aca="false">IF(E50&lt;C4*0.9,"⚠️ Abaixo da meta",IF(E50&lt;=C4,"✅ Na meta",IF(E50&lt;=C4*1.1,"🟡 Ligeiramente acima","🔴 Acima da meta")))</f>
        <v>🟡 Ligeiramente acima</v>
      </c>
      <c r="E51" s="62"/>
      <c r="F51" s="62"/>
      <c r="G51" s="62"/>
      <c r="H51" s="62"/>
      <c r="I51" s="62"/>
    </row>
    <row r="53" customFormat="false" ht="25.5" hidden="false" customHeight="true" outlineLevel="0" collapsed="false">
      <c r="B53" s="63" t="s">
        <v>135</v>
      </c>
      <c r="C53" s="63"/>
      <c r="D53" s="63"/>
      <c r="E53" s="63"/>
      <c r="F53" s="63"/>
      <c r="G53" s="63"/>
      <c r="H53" s="63"/>
      <c r="I53" s="63"/>
    </row>
    <row r="54" customFormat="false" ht="31.5" hidden="false" customHeight="true" outlineLevel="0" collapsed="false">
      <c r="B54" s="64" t="s">
        <v>136</v>
      </c>
      <c r="C54" s="7" t="s">
        <v>94</v>
      </c>
      <c r="D54" s="7" t="s">
        <v>137</v>
      </c>
      <c r="E54" s="6" t="s">
        <v>138</v>
      </c>
      <c r="F54" s="8" t="s">
        <v>139</v>
      </c>
      <c r="G54" s="9" t="s">
        <v>140</v>
      </c>
      <c r="H54" s="64" t="s">
        <v>141</v>
      </c>
      <c r="I54" s="65"/>
    </row>
    <row r="55" customFormat="false" ht="19.5" hidden="false" customHeight="true" outlineLevel="0" collapsed="false">
      <c r="B55" s="66" t="s">
        <v>100</v>
      </c>
      <c r="C55" s="67" t="n">
        <f aca="false">SUM(E9:E14)</f>
        <v>342.2</v>
      </c>
      <c r="D55" s="68" t="n">
        <f aca="false">IFERROR(C55/E50,0)</f>
        <v>0.168954280635924</v>
      </c>
      <c r="E55" s="69" t="n">
        <f aca="false">SUM(F9:F14)</f>
        <v>10.96</v>
      </c>
      <c r="F55" s="69" t="n">
        <f aca="false">SUM(G9:G14)</f>
        <v>52.865</v>
      </c>
      <c r="G55" s="69" t="n">
        <f aca="false">SUM(H9:H14)</f>
        <v>9.81</v>
      </c>
      <c r="H55" s="70" t="s">
        <v>142</v>
      </c>
      <c r="I55" s="71"/>
    </row>
    <row r="56" customFormat="false" ht="19.5" hidden="false" customHeight="true" outlineLevel="0" collapsed="false">
      <c r="B56" s="72" t="s">
        <v>109</v>
      </c>
      <c r="C56" s="73" t="n">
        <f aca="false">SUM(E18:E18)</f>
        <v>201</v>
      </c>
      <c r="D56" s="74" t="n">
        <f aca="false">IFERROR(C56/E50,0)</f>
        <v>0.099239656364175</v>
      </c>
      <c r="E56" s="75" t="n">
        <f aca="false">SUM(F18:F18)</f>
        <v>20.1</v>
      </c>
      <c r="F56" s="75" t="n">
        <f aca="false">SUM(G18:G18)</f>
        <v>30</v>
      </c>
      <c r="G56" s="75" t="n">
        <f aca="false">SUM(H18:H18)</f>
        <v>0</v>
      </c>
      <c r="H56" s="76" t="s">
        <v>143</v>
      </c>
      <c r="I56" s="77"/>
    </row>
    <row r="57" customFormat="false" ht="19.5" hidden="false" customHeight="true" outlineLevel="0" collapsed="false">
      <c r="B57" s="78" t="s">
        <v>112</v>
      </c>
      <c r="C57" s="79" t="n">
        <f aca="false">SUM(E22:E26)</f>
        <v>629.9</v>
      </c>
      <c r="D57" s="80" t="n">
        <f aca="false">IFERROR(C57/E50,0)</f>
        <v>0.31100029623778</v>
      </c>
      <c r="E57" s="81" t="n">
        <f aca="false">SUM(F22:F26)</f>
        <v>42.4</v>
      </c>
      <c r="F57" s="81" t="n">
        <f aca="false">SUM(G22:G26)</f>
        <v>65.82</v>
      </c>
      <c r="G57" s="81" t="n">
        <f aca="false">SUM(H22:H26)</f>
        <v>22.15</v>
      </c>
      <c r="H57" s="82" t="s">
        <v>144</v>
      </c>
      <c r="I57" s="83"/>
    </row>
    <row r="58" customFormat="false" ht="19.5" hidden="false" customHeight="true" outlineLevel="0" collapsed="false">
      <c r="B58" s="84" t="s">
        <v>119</v>
      </c>
      <c r="C58" s="73" t="n">
        <f aca="false">SUM(E30:E33)</f>
        <v>309</v>
      </c>
      <c r="D58" s="74" t="n">
        <f aca="false">IFERROR(C58/E50,0)</f>
        <v>0.152562456798657</v>
      </c>
      <c r="E58" s="75" t="n">
        <f aca="false">SUM(F30:F33)</f>
        <v>22.2</v>
      </c>
      <c r="F58" s="75" t="n">
        <f aca="false">SUM(G30:G33)</f>
        <v>46.26</v>
      </c>
      <c r="G58" s="75" t="n">
        <f aca="false">SUM(H30:H33)</f>
        <v>3.86</v>
      </c>
      <c r="H58" s="76" t="s">
        <v>145</v>
      </c>
      <c r="I58" s="77"/>
    </row>
    <row r="59" customFormat="false" ht="19.5" hidden="false" customHeight="true" outlineLevel="0" collapsed="false">
      <c r="B59" s="85" t="s">
        <v>123</v>
      </c>
      <c r="C59" s="86" t="n">
        <f aca="false">SUM(E37:E40)</f>
        <v>543.3</v>
      </c>
      <c r="D59" s="87" t="n">
        <f aca="false">IFERROR(C59/E50,0)</f>
        <v>0.268243309963464</v>
      </c>
      <c r="E59" s="88" t="n">
        <f aca="false">SUM(F37:F40)</f>
        <v>54.05</v>
      </c>
      <c r="F59" s="88" t="n">
        <f aca="false">SUM(G37:G40)</f>
        <v>66.76</v>
      </c>
      <c r="G59" s="88" t="n">
        <f aca="false">SUM(H37:H40)</f>
        <v>6.21</v>
      </c>
      <c r="H59" s="89" t="s">
        <v>146</v>
      </c>
      <c r="I59" s="90"/>
    </row>
  </sheetData>
  <mergeCells count="17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4:C34"/>
    <mergeCell ref="B36:I36"/>
    <mergeCell ref="B41:C41"/>
    <mergeCell ref="B43:I43"/>
    <mergeCell ref="B50:C50"/>
    <mergeCell ref="B51:C51"/>
    <mergeCell ref="D51:I51"/>
    <mergeCell ref="B53:I5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3 C37:C40 C44:C48" type="list">
      <formula1>_Listas!$A$2:$A$80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1" t="s">
        <v>147</v>
      </c>
      <c r="C2" s="91"/>
      <c r="D2" s="91"/>
      <c r="E2" s="91"/>
      <c r="F2" s="91"/>
      <c r="G2" s="91"/>
      <c r="H2" s="91"/>
      <c r="I2" s="91"/>
    </row>
    <row r="3" customFormat="false" ht="15.75" hidden="false" customHeight="true" outlineLevel="0" collapsed="false">
      <c r="B3" s="2" t="s">
        <v>86</v>
      </c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B4" s="3" t="s">
        <v>87</v>
      </c>
      <c r="C4" s="4" t="n">
        <v>2000</v>
      </c>
      <c r="D4" s="3" t="s">
        <v>88</v>
      </c>
      <c r="E4" s="4" t="n">
        <v>70</v>
      </c>
      <c r="F4" s="3" t="s">
        <v>89</v>
      </c>
      <c r="G4" s="4" t="s">
        <v>90</v>
      </c>
    </row>
    <row r="5" customFormat="false" ht="6" hidden="false" customHeight="true" outlineLevel="0" collapsed="false"/>
    <row r="6" customFormat="false" ht="39.75" hidden="false" customHeight="true" outlineLevel="0" collapsed="false">
      <c r="B6" s="5" t="s">
        <v>91</v>
      </c>
      <c r="C6" s="5" t="s">
        <v>92</v>
      </c>
      <c r="D6" s="6" t="s">
        <v>93</v>
      </c>
      <c r="E6" s="7" t="s">
        <v>94</v>
      </c>
      <c r="F6" s="6" t="s">
        <v>95</v>
      </c>
      <c r="G6" s="8" t="s">
        <v>96</v>
      </c>
      <c r="H6" s="9" t="s">
        <v>97</v>
      </c>
      <c r="I6" s="5" t="s">
        <v>98</v>
      </c>
    </row>
    <row r="7" customFormat="false" ht="4.5" hidden="false" customHeight="true" outlineLevel="0" collapsed="false"/>
    <row r="8" customFormat="false" ht="24" hidden="false" customHeight="true" outlineLevel="0" collapsed="false">
      <c r="B8" s="10" t="s">
        <v>99</v>
      </c>
      <c r="C8" s="10"/>
      <c r="D8" s="10"/>
      <c r="E8" s="10"/>
      <c r="F8" s="10"/>
      <c r="G8" s="10"/>
      <c r="H8" s="10"/>
      <c r="I8" s="10"/>
    </row>
    <row r="9" customFormat="false" ht="19.5" hidden="false" customHeight="true" outlineLevel="0" collapsed="false">
      <c r="B9" s="11" t="s">
        <v>100</v>
      </c>
      <c r="C9" s="12" t="s">
        <v>23</v>
      </c>
      <c r="D9" s="13" t="n">
        <v>200</v>
      </c>
      <c r="E9" s="14" t="n">
        <f aca="false">IFERROR(VLOOKUP(C9,_Listas!$C$2:$H$80,2,0)*D9/100,0)</f>
        <v>4</v>
      </c>
      <c r="F9" s="14" t="n">
        <f aca="false">IFERROR(VLOOKUP(C9,_Listas!$C$2:$H$80,3,0)*D9/100,0)</f>
        <v>0.6</v>
      </c>
      <c r="G9" s="14" t="n">
        <f aca="false">IFERROR(VLOOKUP(C9,_Listas!$C$2:$H$80,4,0)*D9/100,0)</f>
        <v>0</v>
      </c>
      <c r="H9" s="14" t="n">
        <f aca="false">IFERROR(VLOOKUP(C9,_Listas!$C$2:$H$80,5,0)*D9/100,0)</f>
        <v>0</v>
      </c>
      <c r="I9" s="15" t="s">
        <v>101</v>
      </c>
    </row>
    <row r="10" customFormat="false" ht="19.5" hidden="false" customHeight="true" outlineLevel="0" collapsed="false">
      <c r="B10" s="16"/>
      <c r="C10" s="12" t="s">
        <v>69</v>
      </c>
      <c r="D10" s="13" t="n">
        <v>60</v>
      </c>
      <c r="E10" s="17" t="n">
        <f aca="false">IFERROR(VLOOKUP(C10,_Listas!$C$2:$H$80,2,0)*D10/100,0)</f>
        <v>180</v>
      </c>
      <c r="F10" s="17" t="n">
        <f aca="false">IFERROR(VLOOKUP(C10,_Listas!$C$2:$H$80,3,0)*D10/100,0)</f>
        <v>4.8</v>
      </c>
      <c r="G10" s="17" t="n">
        <f aca="false">IFERROR(VLOOKUP(C10,_Listas!$C$2:$H$80,4,0)*D10/100,0)</f>
        <v>35.16</v>
      </c>
      <c r="H10" s="17" t="n">
        <f aca="false">IFERROR(VLOOKUP(C10,_Listas!$C$2:$H$80,5,0)*D10/100,0)</f>
        <v>1.86</v>
      </c>
      <c r="I10" s="18" t="s">
        <v>102</v>
      </c>
    </row>
    <row r="11" customFormat="false" ht="19.5" hidden="false" customHeight="true" outlineLevel="0" collapsed="false">
      <c r="B11" s="16"/>
      <c r="C11" s="12" t="s">
        <v>73</v>
      </c>
      <c r="D11" s="13" t="n">
        <v>15</v>
      </c>
      <c r="E11" s="14" t="n">
        <f aca="false">IFERROR(VLOOKUP(C11,_Listas!$C$2:$H$80,2,0)*D11/100,0)</f>
        <v>36</v>
      </c>
      <c r="F11" s="14" t="n">
        <f aca="false">IFERROR(VLOOKUP(C11,_Listas!$C$2:$H$80,3,0)*D11/100,0)</f>
        <v>1.05</v>
      </c>
      <c r="G11" s="14" t="n">
        <f aca="false">IFERROR(VLOOKUP(C11,_Listas!$C$2:$H$80,4,0)*D11/100,0)</f>
        <v>0.525</v>
      </c>
      <c r="H11" s="14" t="n">
        <f aca="false">IFERROR(VLOOKUP(C11,_Listas!$C$2:$H$80,5,0)*D11/100,0)</f>
        <v>3.3</v>
      </c>
      <c r="I11" s="15" t="s">
        <v>103</v>
      </c>
    </row>
    <row r="12" customFormat="false" ht="19.5" hidden="false" customHeight="true" outlineLevel="0" collapsed="false">
      <c r="B12" s="16"/>
      <c r="C12" s="12" t="s">
        <v>72</v>
      </c>
      <c r="D12" s="13" t="n">
        <v>20</v>
      </c>
      <c r="E12" s="17" t="n">
        <f aca="false">IFERROR(VLOOKUP(C12,_Listas!$C$2:$H$80,2,0)*D12/100,0)</f>
        <v>57.8</v>
      </c>
      <c r="F12" s="17" t="n">
        <f aca="false">IFERROR(VLOOKUP(C12,_Listas!$C$2:$H$80,3,0)*D12/100,0)</f>
        <v>3.6</v>
      </c>
      <c r="G12" s="17" t="n">
        <f aca="false">IFERROR(VLOOKUP(C12,_Listas!$C$2:$H$80,4,0)*D12/100,0)</f>
        <v>0.52</v>
      </c>
      <c r="H12" s="17" t="n">
        <f aca="false">IFERROR(VLOOKUP(C12,_Listas!$C$2:$H$80,5,0)*D12/100,0)</f>
        <v>4.58</v>
      </c>
      <c r="I12" s="18" t="s">
        <v>104</v>
      </c>
    </row>
    <row r="13" customFormat="false" ht="19.5" hidden="false" customHeight="true" outlineLevel="0" collapsed="false">
      <c r="B13" s="16"/>
      <c r="C13" s="12" t="s">
        <v>60</v>
      </c>
      <c r="D13" s="13" t="n">
        <v>15</v>
      </c>
      <c r="E13" s="14" t="n">
        <f aca="false">IFERROR(VLOOKUP(C13,_Listas!$C$2:$H$80,2,0)*D13/100,0)</f>
        <v>16.35</v>
      </c>
      <c r="F13" s="14" t="n">
        <f aca="false">IFERROR(VLOOKUP(C13,_Listas!$C$2:$H$80,3,0)*D13/100,0)</f>
        <v>2.61</v>
      </c>
      <c r="G13" s="14" t="n">
        <f aca="false">IFERROR(VLOOKUP(C13,_Listas!$C$2:$H$80,4,0)*D13/100,0)</f>
        <v>0.285</v>
      </c>
      <c r="H13" s="14" t="n">
        <f aca="false">IFERROR(VLOOKUP(C13,_Listas!$C$2:$H$80,5,0)*D13/100,0)</f>
        <v>0.54</v>
      </c>
      <c r="I13" s="15" t="s">
        <v>104</v>
      </c>
    </row>
    <row r="14" customFormat="false" ht="19.5" hidden="false" customHeight="true" outlineLevel="0" collapsed="false">
      <c r="B14" s="16"/>
      <c r="C14" s="12" t="s">
        <v>48</v>
      </c>
      <c r="D14" s="13" t="n">
        <v>120</v>
      </c>
      <c r="E14" s="17" t="n">
        <f aca="false">IFERROR(VLOOKUP(C14,_Listas!$C$2:$H$80,2,0)*D14/100,0)</f>
        <v>67.2</v>
      </c>
      <c r="F14" s="17" t="n">
        <f aca="false">IFERROR(VLOOKUP(C14,_Listas!$C$2:$H$80,3,0)*D14/100,0)</f>
        <v>0.36</v>
      </c>
      <c r="G14" s="17" t="n">
        <f aca="false">IFERROR(VLOOKUP(C14,_Listas!$C$2:$H$80,4,0)*D14/100,0)</f>
        <v>17.88</v>
      </c>
      <c r="H14" s="17" t="n">
        <f aca="false">IFERROR(VLOOKUP(C14,_Listas!$C$2:$H$80,5,0)*D14/100,0)</f>
        <v>0.12</v>
      </c>
      <c r="I14" s="18" t="s">
        <v>113</v>
      </c>
    </row>
    <row r="15" customFormat="false" ht="19.5" hidden="false" customHeight="true" outlineLevel="0" collapsed="false">
      <c r="B15" s="16"/>
      <c r="C15" s="12" t="s">
        <v>32</v>
      </c>
      <c r="D15" s="13" t="n">
        <v>6</v>
      </c>
      <c r="E15" s="14" t="n">
        <f aca="false">IFERROR(VLOOKUP(C15,_Listas!$C$2:$H$80,2,0)*D15/100,0)</f>
        <v>0</v>
      </c>
      <c r="F15" s="14" t="n">
        <f aca="false">IFERROR(VLOOKUP(C15,_Listas!$C$2:$H$80,3,0)*D15/100,0)</f>
        <v>0</v>
      </c>
      <c r="G15" s="14" t="n">
        <f aca="false">IFERROR(VLOOKUP(C15,_Listas!$C$2:$H$80,4,0)*D15/100,0)</f>
        <v>0</v>
      </c>
      <c r="H15" s="14" t="n">
        <f aca="false">IFERROR(VLOOKUP(C15,_Listas!$C$2:$H$80,5,0)*D15/100,0)</f>
        <v>0</v>
      </c>
      <c r="I15" s="15" t="s">
        <v>106</v>
      </c>
    </row>
    <row r="16" customFormat="false" ht="18" hidden="false" customHeight="true" outlineLevel="0" collapsed="false">
      <c r="B16" s="19" t="s">
        <v>107</v>
      </c>
      <c r="C16" s="19"/>
      <c r="D16" s="20" t="n">
        <f aca="false">SUM(D9:D15)</f>
        <v>436</v>
      </c>
      <c r="E16" s="20" t="n">
        <f aca="false">SUM(E9:E15)</f>
        <v>361.35</v>
      </c>
      <c r="F16" s="20" t="n">
        <f aca="false">SUM(F9:F15)</f>
        <v>13.02</v>
      </c>
      <c r="G16" s="20" t="n">
        <f aca="false">SUM(G9:G15)</f>
        <v>54.37</v>
      </c>
      <c r="H16" s="20" t="n">
        <f aca="false">SUM(H9:H15)</f>
        <v>10.4</v>
      </c>
      <c r="I16" s="21"/>
    </row>
    <row r="17" customFormat="false" ht="3.75" hidden="false" customHeight="true" outlineLevel="0" collapsed="false"/>
    <row r="18" customFormat="false" ht="24" hidden="false" customHeight="true" outlineLevel="0" collapsed="false">
      <c r="B18" s="22" t="s">
        <v>108</v>
      </c>
      <c r="C18" s="22"/>
      <c r="D18" s="22"/>
      <c r="E18" s="22"/>
      <c r="F18" s="22"/>
      <c r="G18" s="22"/>
      <c r="H18" s="22"/>
      <c r="I18" s="22"/>
    </row>
    <row r="19" customFormat="false" ht="19.5" hidden="false" customHeight="true" outlineLevel="0" collapsed="false">
      <c r="B19" s="23" t="s">
        <v>109</v>
      </c>
      <c r="C19" s="12" t="s">
        <v>84</v>
      </c>
      <c r="D19" s="13" t="n">
        <v>300</v>
      </c>
      <c r="E19" s="24" t="n">
        <f aca="false">IFERROR(VLOOKUP(C19,_Listas!$C$2:$H$80,2,0)*D19/100,0)</f>
        <v>201</v>
      </c>
      <c r="F19" s="24" t="n">
        <f aca="false">IFERROR(VLOOKUP(C19,_Listas!$C$2:$H$80,3,0)*D19/100,0)</f>
        <v>20.1</v>
      </c>
      <c r="G19" s="24" t="n">
        <f aca="false">IFERROR(VLOOKUP(C19,_Listas!$C$2:$H$80,4,0)*D19/100,0)</f>
        <v>30</v>
      </c>
      <c r="H19" s="24" t="n">
        <f aca="false">IFERROR(VLOOKUP(C19,_Listas!$C$2:$H$80,5,0)*D19/100,0)</f>
        <v>0</v>
      </c>
      <c r="I19" s="25" t="s">
        <v>102</v>
      </c>
    </row>
    <row r="20" customFormat="false" ht="18" hidden="false" customHeight="true" outlineLevel="0" collapsed="false">
      <c r="B20" s="26" t="s">
        <v>110</v>
      </c>
      <c r="C20" s="26"/>
      <c r="D20" s="27" t="n">
        <f aca="false">SUM(D19:D19)</f>
        <v>300</v>
      </c>
      <c r="E20" s="27" t="n">
        <f aca="false">SUM(E19:E19)</f>
        <v>201</v>
      </c>
      <c r="F20" s="27" t="n">
        <f aca="false">SUM(F19:F19)</f>
        <v>20.1</v>
      </c>
      <c r="G20" s="27" t="n">
        <f aca="false">SUM(G19:G19)</f>
        <v>30</v>
      </c>
      <c r="H20" s="27" t="n">
        <f aca="false">SUM(H19:H19)</f>
        <v>0</v>
      </c>
      <c r="I20" s="28"/>
    </row>
    <row r="21" customFormat="false" ht="3.75" hidden="false" customHeight="true" outlineLevel="0" collapsed="false"/>
    <row r="22" customFormat="false" ht="24" hidden="false" customHeight="true" outlineLevel="0" collapsed="false">
      <c r="B22" s="29" t="s">
        <v>111</v>
      </c>
      <c r="C22" s="29"/>
      <c r="D22" s="29"/>
      <c r="E22" s="29"/>
      <c r="F22" s="29"/>
      <c r="G22" s="29"/>
      <c r="H22" s="29"/>
      <c r="I22" s="29"/>
    </row>
    <row r="23" customFormat="false" ht="19.5" hidden="false" customHeight="true" outlineLevel="0" collapsed="false">
      <c r="B23" s="30" t="s">
        <v>112</v>
      </c>
      <c r="C23" s="12" t="s">
        <v>13</v>
      </c>
      <c r="D23" s="13" t="n">
        <v>140</v>
      </c>
      <c r="E23" s="31" t="n">
        <f aca="false">IFERROR(VLOOKUP(C23,_Listas!$C$2:$H$80,2,0)*D23/100,0)</f>
        <v>179.2</v>
      </c>
      <c r="F23" s="31" t="n">
        <f aca="false">IFERROR(VLOOKUP(C23,_Listas!$C$2:$H$80,3,0)*D23/100,0)</f>
        <v>3.5</v>
      </c>
      <c r="G23" s="31" t="n">
        <f aca="false">IFERROR(VLOOKUP(C23,_Listas!$C$2:$H$80,4,0)*D23/100,0)</f>
        <v>39.34</v>
      </c>
      <c r="H23" s="31" t="n">
        <f aca="false">IFERROR(VLOOKUP(C23,_Listas!$C$2:$H$80,5,0)*D23/100,0)</f>
        <v>0.28</v>
      </c>
      <c r="I23" s="32" t="s">
        <v>124</v>
      </c>
    </row>
    <row r="24" customFormat="false" ht="19.5" hidden="false" customHeight="true" outlineLevel="0" collapsed="false">
      <c r="B24" s="33"/>
      <c r="C24" s="12" t="s">
        <v>57</v>
      </c>
      <c r="D24" s="13" t="n">
        <v>20</v>
      </c>
      <c r="E24" s="17" t="n">
        <f aca="false">IFERROR(VLOOKUP(C24,_Listas!$C$2:$H$80,2,0)*D24/100,0)</f>
        <v>34</v>
      </c>
      <c r="F24" s="17" t="n">
        <f aca="false">IFERROR(VLOOKUP(C24,_Listas!$C$2:$H$80,3,0)*D24/100,0)</f>
        <v>1.6</v>
      </c>
      <c r="G24" s="17" t="n">
        <f aca="false">IFERROR(VLOOKUP(C24,_Listas!$C$2:$H$80,4,0)*D24/100,0)</f>
        <v>1</v>
      </c>
      <c r="H24" s="17" t="n">
        <f aca="false">IFERROR(VLOOKUP(C24,_Listas!$C$2:$H$80,5,0)*D24/100,0)</f>
        <v>2.6</v>
      </c>
      <c r="I24" s="18" t="s">
        <v>103</v>
      </c>
    </row>
    <row r="25" customFormat="false" ht="19.5" hidden="false" customHeight="true" outlineLevel="0" collapsed="false">
      <c r="B25" s="33"/>
      <c r="C25" s="12" t="s">
        <v>73</v>
      </c>
      <c r="D25" s="13" t="n">
        <v>40</v>
      </c>
      <c r="E25" s="31" t="n">
        <f aca="false">IFERROR(VLOOKUP(C25,_Listas!$C$2:$H$80,2,0)*D25/100,0)</f>
        <v>96</v>
      </c>
      <c r="F25" s="31" t="n">
        <f aca="false">IFERROR(VLOOKUP(C25,_Listas!$C$2:$H$80,3,0)*D25/100,0)</f>
        <v>2.8</v>
      </c>
      <c r="G25" s="31" t="n">
        <f aca="false">IFERROR(VLOOKUP(C25,_Listas!$C$2:$H$80,4,0)*D25/100,0)</f>
        <v>1.4</v>
      </c>
      <c r="H25" s="31" t="n">
        <f aca="false">IFERROR(VLOOKUP(C25,_Listas!$C$2:$H$80,5,0)*D25/100,0)</f>
        <v>8.8</v>
      </c>
      <c r="I25" s="32" t="s">
        <v>148</v>
      </c>
    </row>
    <row r="26" customFormat="false" ht="19.5" hidden="false" customHeight="true" outlineLevel="0" collapsed="false">
      <c r="B26" s="33"/>
      <c r="C26" s="12" t="s">
        <v>35</v>
      </c>
      <c r="D26" s="13" t="n">
        <v>170</v>
      </c>
      <c r="E26" s="17" t="n">
        <f aca="false">IFERROR(VLOOKUP(C26,_Listas!$C$2:$H$80,2,0)*D26/100,0)</f>
        <v>277.1</v>
      </c>
      <c r="F26" s="17" t="n">
        <f aca="false">IFERROR(VLOOKUP(C26,_Listas!$C$2:$H$80,3,0)*D26/100,0)</f>
        <v>53.55</v>
      </c>
      <c r="G26" s="17" t="n">
        <f aca="false">IFERROR(VLOOKUP(C26,_Listas!$C$2:$H$80,4,0)*D26/100,0)</f>
        <v>0</v>
      </c>
      <c r="H26" s="17" t="n">
        <f aca="false">IFERROR(VLOOKUP(C26,_Listas!$C$2:$H$80,5,0)*D26/100,0)</f>
        <v>6.29</v>
      </c>
      <c r="I26" s="18" t="s">
        <v>149</v>
      </c>
    </row>
    <row r="27" customFormat="false" ht="19.5" hidden="false" customHeight="true" outlineLevel="0" collapsed="false">
      <c r="B27" s="33"/>
      <c r="C27" s="12" t="s">
        <v>39</v>
      </c>
      <c r="D27" s="13" t="n">
        <v>150</v>
      </c>
      <c r="E27" s="31" t="n">
        <f aca="false">IFERROR(VLOOKUP(C27,_Listas!$C$2:$H$80,2,0)*D27/100,0)</f>
        <v>69</v>
      </c>
      <c r="F27" s="31" t="n">
        <f aca="false">IFERROR(VLOOKUP(C27,_Listas!$C$2:$H$80,3,0)*D27/100,0)</f>
        <v>1.35</v>
      </c>
      <c r="G27" s="31" t="n">
        <f aca="false">IFERROR(VLOOKUP(C27,_Listas!$C$2:$H$80,4,0)*D27/100,0)</f>
        <v>17.25</v>
      </c>
      <c r="H27" s="31" t="n">
        <f aca="false">IFERROR(VLOOKUP(C27,_Listas!$C$2:$H$80,5,0)*D27/100,0)</f>
        <v>0.15</v>
      </c>
      <c r="I27" s="32" t="s">
        <v>150</v>
      </c>
    </row>
    <row r="28" customFormat="false" ht="18" hidden="false" customHeight="true" outlineLevel="0" collapsed="false">
      <c r="B28" s="34" t="s">
        <v>117</v>
      </c>
      <c r="C28" s="34"/>
      <c r="D28" s="35" t="n">
        <f aca="false">SUM(D23:D27)</f>
        <v>520</v>
      </c>
      <c r="E28" s="35" t="n">
        <f aca="false">SUM(E23:E27)</f>
        <v>655.3</v>
      </c>
      <c r="F28" s="35" t="n">
        <f aca="false">SUM(F23:F27)</f>
        <v>62.8</v>
      </c>
      <c r="G28" s="35" t="n">
        <f aca="false">SUM(G23:G27)</f>
        <v>58.99</v>
      </c>
      <c r="H28" s="35" t="n">
        <f aca="false">SUM(H23:H27)</f>
        <v>18.12</v>
      </c>
      <c r="I28" s="36"/>
    </row>
    <row r="29" customFormat="false" ht="3.75" hidden="false" customHeight="true" outlineLevel="0" collapsed="false"/>
    <row r="30" customFormat="false" ht="19.5" hidden="false" customHeight="true" outlineLevel="0" collapsed="false">
      <c r="B30" s="53" t="s">
        <v>151</v>
      </c>
      <c r="C30" s="53"/>
      <c r="D30" s="53"/>
      <c r="E30" s="53"/>
      <c r="F30" s="53"/>
      <c r="G30" s="53"/>
      <c r="H30" s="53"/>
      <c r="I30" s="53"/>
    </row>
    <row r="31" customFormat="false" ht="19.5" hidden="false" customHeight="true" outlineLevel="0" collapsed="false">
      <c r="B31" s="54" t="s">
        <v>152</v>
      </c>
      <c r="C31" s="12" t="s">
        <v>67</v>
      </c>
      <c r="D31" s="13" t="n">
        <v>150</v>
      </c>
      <c r="E31" s="55" t="n">
        <f aca="false">IFERROR(VLOOKUP(C31,_Listas!$C$2:$H$80,2,0)*D31/100,0)</f>
        <v>153</v>
      </c>
      <c r="F31" s="55" t="n">
        <f aca="false">IFERROR(VLOOKUP(C31,_Listas!$C$2:$H$80,3,0)*D31/100,0)</f>
        <v>3.75</v>
      </c>
      <c r="G31" s="55" t="n">
        <f aca="false">IFERROR(VLOOKUP(C31,_Listas!$C$2:$H$80,4,0)*D31/100,0)</f>
        <v>25.5</v>
      </c>
      <c r="H31" s="55" t="n">
        <f aca="false">IFERROR(VLOOKUP(C31,_Listas!$C$2:$H$80,5,0)*D31/100,0)</f>
        <v>4.5</v>
      </c>
      <c r="I31" s="56" t="s">
        <v>115</v>
      </c>
    </row>
    <row r="32" customFormat="false" ht="19.5" hidden="false" customHeight="true" outlineLevel="0" collapsed="false">
      <c r="B32" s="57"/>
      <c r="C32" s="12" t="s">
        <v>53</v>
      </c>
      <c r="D32" s="13" t="n">
        <v>100</v>
      </c>
      <c r="E32" s="17" t="n">
        <f aca="false">IFERROR(VLOOKUP(C32,_Listas!$C$2:$H$80,2,0)*D32/100,0)</f>
        <v>26</v>
      </c>
      <c r="F32" s="17" t="n">
        <f aca="false">IFERROR(VLOOKUP(C32,_Listas!$C$2:$H$80,3,0)*D32/100,0)</f>
        <v>0.7</v>
      </c>
      <c r="G32" s="17" t="n">
        <f aca="false">IFERROR(VLOOKUP(C32,_Listas!$C$2:$H$80,4,0)*D32/100,0)</f>
        <v>6</v>
      </c>
      <c r="H32" s="17" t="n">
        <f aca="false">IFERROR(VLOOKUP(C32,_Listas!$C$2:$H$80,5,0)*D32/100,0)</f>
        <v>0.1</v>
      </c>
      <c r="I32" s="18" t="s">
        <v>115</v>
      </c>
    </row>
    <row r="33" customFormat="false" ht="19.5" hidden="false" customHeight="true" outlineLevel="0" collapsed="false">
      <c r="B33" s="57"/>
      <c r="C33" s="12" t="s">
        <v>62</v>
      </c>
      <c r="D33" s="13" t="n">
        <v>200</v>
      </c>
      <c r="E33" s="55" t="n">
        <f aca="false">IFERROR(VLOOKUP(C33,_Listas!$C$2:$H$80,2,0)*D33/100,0)</f>
        <v>256</v>
      </c>
      <c r="F33" s="55" t="n">
        <f aca="false">IFERROR(VLOOKUP(C33,_Listas!$C$2:$H$80,3,0)*D33/100,0)</f>
        <v>50</v>
      </c>
      <c r="G33" s="55" t="n">
        <f aca="false">IFERROR(VLOOKUP(C33,_Listas!$C$2:$H$80,4,0)*D33/100,0)</f>
        <v>0</v>
      </c>
      <c r="H33" s="55" t="n">
        <f aca="false">IFERROR(VLOOKUP(C33,_Listas!$C$2:$H$80,5,0)*D33/100,0)</f>
        <v>5.6</v>
      </c>
      <c r="I33" s="56" t="s">
        <v>153</v>
      </c>
    </row>
    <row r="34" customFormat="false" ht="19.5" hidden="false" customHeight="true" outlineLevel="0" collapsed="false">
      <c r="B34" s="57"/>
      <c r="C34" s="12" t="s">
        <v>40</v>
      </c>
      <c r="D34" s="13" t="n">
        <v>120</v>
      </c>
      <c r="E34" s="17" t="n">
        <f aca="false">IFERROR(VLOOKUP(C34,_Listas!$C$2:$H$80,2,0)*D34/100,0)</f>
        <v>42</v>
      </c>
      <c r="F34" s="17" t="n">
        <f aca="false">IFERROR(VLOOKUP(C34,_Listas!$C$2:$H$80,3,0)*D34/100,0)</f>
        <v>2.4</v>
      </c>
      <c r="G34" s="17" t="n">
        <f aca="false">IFERROR(VLOOKUP(C34,_Listas!$C$2:$H$80,4,0)*D34/100,0)</f>
        <v>7.8</v>
      </c>
      <c r="H34" s="17" t="n">
        <f aca="false">IFERROR(VLOOKUP(C34,_Listas!$C$2:$H$80,5,0)*D34/100,0)</f>
        <v>0.36</v>
      </c>
      <c r="I34" s="18" t="s">
        <v>154</v>
      </c>
    </row>
    <row r="35" customFormat="false" ht="19.5" hidden="false" customHeight="true" outlineLevel="0" collapsed="false">
      <c r="B35" s="57"/>
      <c r="C35" s="12" t="s">
        <v>22</v>
      </c>
      <c r="D35" s="13" t="n">
        <v>16</v>
      </c>
      <c r="E35" s="55" t="n">
        <f aca="false">IFERROR(VLOOKUP(C35,_Listas!$C$2:$H$80,2,0)*D35/100,0)</f>
        <v>83.2</v>
      </c>
      <c r="F35" s="55" t="n">
        <f aca="false">IFERROR(VLOOKUP(C35,_Listas!$C$2:$H$80,3,0)*D35/100,0)</f>
        <v>0.8</v>
      </c>
      <c r="G35" s="55" t="n">
        <f aca="false">IFERROR(VLOOKUP(C35,_Listas!$C$2:$H$80,4,0)*D35/100,0)</f>
        <v>9.6</v>
      </c>
      <c r="H35" s="55" t="n">
        <f aca="false">IFERROR(VLOOKUP(C35,_Listas!$C$2:$H$80,5,0)*D35/100,0)</f>
        <v>4.48</v>
      </c>
      <c r="I35" s="56" t="s">
        <v>102</v>
      </c>
    </row>
    <row r="36" customFormat="false" ht="3.75" hidden="false" customHeight="true" outlineLevel="0" collapsed="false"/>
    <row r="37" customFormat="false" ht="24" hidden="false" customHeight="true" outlineLevel="0" collapsed="false">
      <c r="B37" s="37" t="s">
        <v>118</v>
      </c>
      <c r="C37" s="37"/>
      <c r="D37" s="37"/>
      <c r="E37" s="37"/>
      <c r="F37" s="37"/>
      <c r="G37" s="37"/>
      <c r="H37" s="37"/>
      <c r="I37" s="37"/>
    </row>
    <row r="38" customFormat="false" ht="19.5" hidden="false" customHeight="true" outlineLevel="0" collapsed="false">
      <c r="B38" s="38" t="s">
        <v>119</v>
      </c>
      <c r="C38" s="12" t="s">
        <v>41</v>
      </c>
      <c r="D38" s="13" t="n">
        <v>200</v>
      </c>
      <c r="E38" s="39" t="n">
        <f aca="false">IFERROR(VLOOKUP(C38,_Listas!$C$2:$H$80,2,0)*D38/100,0)</f>
        <v>122</v>
      </c>
      <c r="F38" s="39" t="n">
        <f aca="false">IFERROR(VLOOKUP(C38,_Listas!$C$2:$H$80,3,0)*D38/100,0)</f>
        <v>6.4</v>
      </c>
      <c r="G38" s="39" t="n">
        <f aca="false">IFERROR(VLOOKUP(C38,_Listas!$C$2:$H$80,4,0)*D38/100,0)</f>
        <v>9.4</v>
      </c>
      <c r="H38" s="39" t="n">
        <f aca="false">IFERROR(VLOOKUP(C38,_Listas!$C$2:$H$80,5,0)*D38/100,0)</f>
        <v>6.4</v>
      </c>
      <c r="I38" s="40" t="s">
        <v>129</v>
      </c>
    </row>
    <row r="39" customFormat="false" ht="19.5" hidden="false" customHeight="true" outlineLevel="0" collapsed="false">
      <c r="B39" s="41"/>
      <c r="C39" s="12" t="s">
        <v>16</v>
      </c>
      <c r="D39" s="13" t="n">
        <v>60</v>
      </c>
      <c r="E39" s="17" t="n">
        <f aca="false">IFERROR(VLOOKUP(C39,_Listas!$C$2:$H$80,2,0)*D39/100,0)</f>
        <v>55.2</v>
      </c>
      <c r="F39" s="17" t="n">
        <f aca="false">IFERROR(VLOOKUP(C39,_Listas!$C$2:$H$80,3,0)*D39/100,0)</f>
        <v>0.78</v>
      </c>
      <c r="G39" s="17" t="n">
        <f aca="false">IFERROR(VLOOKUP(C39,_Listas!$C$2:$H$80,4,0)*D39/100,0)</f>
        <v>14.28</v>
      </c>
      <c r="H39" s="17" t="n">
        <f aca="false">IFERROR(VLOOKUP(C39,_Listas!$C$2:$H$80,5,0)*D39/100,0)</f>
        <v>0.06</v>
      </c>
      <c r="I39" s="18" t="s">
        <v>155</v>
      </c>
    </row>
    <row r="40" customFormat="false" ht="19.5" hidden="false" customHeight="true" outlineLevel="0" collapsed="false">
      <c r="B40" s="41"/>
      <c r="C40" s="12" t="s">
        <v>83</v>
      </c>
      <c r="D40" s="13" t="n">
        <v>60</v>
      </c>
      <c r="E40" s="39" t="n">
        <f aca="false">IFERROR(VLOOKUP(C40,_Listas!$C$2:$H$80,2,0)*D40/100,0)</f>
        <v>224.4</v>
      </c>
      <c r="F40" s="39" t="n">
        <f aca="false">IFERROR(VLOOKUP(C40,_Listas!$C$2:$H$80,3,0)*D40/100,0)</f>
        <v>48</v>
      </c>
      <c r="G40" s="39" t="n">
        <f aca="false">IFERROR(VLOOKUP(C40,_Listas!$C$2:$H$80,4,0)*D40/100,0)</f>
        <v>4.8</v>
      </c>
      <c r="H40" s="39" t="n">
        <f aca="false">IFERROR(VLOOKUP(C40,_Listas!$C$2:$H$80,5,0)*D40/100,0)</f>
        <v>2.4</v>
      </c>
      <c r="I40" s="40" t="s">
        <v>156</v>
      </c>
    </row>
    <row r="41" customFormat="false" ht="18" hidden="false" customHeight="true" outlineLevel="0" collapsed="false">
      <c r="B41" s="42" t="s">
        <v>121</v>
      </c>
      <c r="C41" s="42"/>
      <c r="D41" s="43" t="n">
        <f aca="false">SUM(D38:D40)</f>
        <v>320</v>
      </c>
      <c r="E41" s="43" t="n">
        <f aca="false">SUM(E38:E40)</f>
        <v>401.6</v>
      </c>
      <c r="F41" s="43" t="n">
        <f aca="false">SUM(F38:F40)</f>
        <v>55.18</v>
      </c>
      <c r="G41" s="43" t="n">
        <f aca="false">SUM(G38:G40)</f>
        <v>28.48</v>
      </c>
      <c r="H41" s="43" t="n">
        <f aca="false">SUM(H38:H40)</f>
        <v>8.86</v>
      </c>
      <c r="I41" s="44"/>
    </row>
    <row r="42" customFormat="false" ht="3.75" hidden="false" customHeight="true" outlineLevel="0" collapsed="false"/>
    <row r="43" customFormat="false" ht="24" hidden="false" customHeight="true" outlineLevel="0" collapsed="false">
      <c r="B43" s="45" t="s">
        <v>122</v>
      </c>
      <c r="C43" s="45"/>
      <c r="D43" s="45"/>
      <c r="E43" s="45"/>
      <c r="F43" s="45"/>
      <c r="G43" s="45"/>
      <c r="H43" s="45"/>
      <c r="I43" s="45"/>
    </row>
    <row r="44" customFormat="false" ht="19.5" hidden="false" customHeight="true" outlineLevel="0" collapsed="false">
      <c r="B44" s="46" t="s">
        <v>123</v>
      </c>
      <c r="C44" s="12" t="s">
        <v>31</v>
      </c>
      <c r="D44" s="13" t="n">
        <v>350</v>
      </c>
      <c r="E44" s="47" t="n">
        <f aca="false">IFERROR(VLOOKUP(C44,_Listas!$C$2:$H$80,2,0)*D44/100,0)</f>
        <v>3.5</v>
      </c>
      <c r="F44" s="47" t="n">
        <f aca="false">IFERROR(VLOOKUP(C44,_Listas!$C$2:$H$80,3,0)*D44/100,0)</f>
        <v>0</v>
      </c>
      <c r="G44" s="47" t="n">
        <f aca="false">IFERROR(VLOOKUP(C44,_Listas!$C$2:$H$80,4,0)*D44/100,0)</f>
        <v>1.05</v>
      </c>
      <c r="H44" s="47" t="n">
        <f aca="false">IFERROR(VLOOKUP(C44,_Listas!$C$2:$H$80,5,0)*D44/100,0)</f>
        <v>0</v>
      </c>
      <c r="I44" s="48" t="s">
        <v>157</v>
      </c>
    </row>
    <row r="45" customFormat="false" ht="19.5" hidden="false" customHeight="true" outlineLevel="0" collapsed="false">
      <c r="B45" s="49"/>
      <c r="C45" s="12" t="s">
        <v>68</v>
      </c>
      <c r="D45" s="13" t="n">
        <v>70</v>
      </c>
      <c r="E45" s="17" t="n">
        <f aca="false">IFERROR(VLOOKUP(C45,_Listas!$C$2:$H$80,2,0)*D45/100,0)</f>
        <v>196</v>
      </c>
      <c r="F45" s="17" t="n">
        <f aca="false">IFERROR(VLOOKUP(C45,_Listas!$C$2:$H$80,3,0)*D45/100,0)</f>
        <v>5.6</v>
      </c>
      <c r="G45" s="17" t="n">
        <f aca="false">IFERROR(VLOOKUP(C45,_Listas!$C$2:$H$80,4,0)*D45/100,0)</f>
        <v>35</v>
      </c>
      <c r="H45" s="17" t="n">
        <f aca="false">IFERROR(VLOOKUP(C45,_Listas!$C$2:$H$80,5,0)*D45/100,0)</f>
        <v>3.5</v>
      </c>
      <c r="I45" s="18" t="s">
        <v>102</v>
      </c>
    </row>
    <row r="46" customFormat="false" ht="19.5" hidden="false" customHeight="true" outlineLevel="0" collapsed="false">
      <c r="B46" s="49"/>
      <c r="C46" s="12" t="s">
        <v>72</v>
      </c>
      <c r="D46" s="13" t="n">
        <v>25</v>
      </c>
      <c r="E46" s="47" t="n">
        <f aca="false">IFERROR(VLOOKUP(C46,_Listas!$C$2:$H$80,2,0)*D46/100,0)</f>
        <v>72.25</v>
      </c>
      <c r="F46" s="47" t="n">
        <f aca="false">IFERROR(VLOOKUP(C46,_Listas!$C$2:$H$80,3,0)*D46/100,0)</f>
        <v>4.5</v>
      </c>
      <c r="G46" s="47" t="n">
        <f aca="false">IFERROR(VLOOKUP(C46,_Listas!$C$2:$H$80,4,0)*D46/100,0)</f>
        <v>0.65</v>
      </c>
      <c r="H46" s="47" t="n">
        <f aca="false">IFERROR(VLOOKUP(C46,_Listas!$C$2:$H$80,5,0)*D46/100,0)</f>
        <v>5.725</v>
      </c>
      <c r="I46" s="48" t="s">
        <v>104</v>
      </c>
    </row>
    <row r="47" customFormat="false" ht="19.5" hidden="false" customHeight="true" outlineLevel="0" collapsed="false">
      <c r="B47" s="49"/>
      <c r="C47" s="12" t="s">
        <v>73</v>
      </c>
      <c r="D47" s="13" t="n">
        <v>20</v>
      </c>
      <c r="E47" s="17" t="n">
        <f aca="false">IFERROR(VLOOKUP(C47,_Listas!$C$2:$H$80,2,0)*D47/100,0)</f>
        <v>48</v>
      </c>
      <c r="F47" s="17" t="n">
        <f aca="false">IFERROR(VLOOKUP(C47,_Listas!$C$2:$H$80,3,0)*D47/100,0)</f>
        <v>1.4</v>
      </c>
      <c r="G47" s="17" t="n">
        <f aca="false">IFERROR(VLOOKUP(C47,_Listas!$C$2:$H$80,4,0)*D47/100,0)</f>
        <v>0.7</v>
      </c>
      <c r="H47" s="17" t="n">
        <f aca="false">IFERROR(VLOOKUP(C47,_Listas!$C$2:$H$80,5,0)*D47/100,0)</f>
        <v>4.4</v>
      </c>
      <c r="I47" s="18" t="s">
        <v>103</v>
      </c>
    </row>
    <row r="48" customFormat="false" ht="19.5" hidden="false" customHeight="true" outlineLevel="0" collapsed="false">
      <c r="B48" s="49"/>
      <c r="C48" s="12" t="s">
        <v>21</v>
      </c>
      <c r="D48" s="13" t="n">
        <v>150</v>
      </c>
      <c r="E48" s="47" t="n">
        <f aca="false">IFERROR(VLOOKUP(C48,_Listas!$C$2:$H$80,2,0)*D48/100,0)</f>
        <v>355.5</v>
      </c>
      <c r="F48" s="47" t="n">
        <f aca="false">IFERROR(VLOOKUP(C48,_Listas!$C$2:$H$80,3,0)*D48/100,0)</f>
        <v>49.2</v>
      </c>
      <c r="G48" s="47" t="n">
        <f aca="false">IFERROR(VLOOKUP(C48,_Listas!$C$2:$H$80,4,0)*D48/100,0)</f>
        <v>0</v>
      </c>
      <c r="H48" s="47" t="n">
        <f aca="false">IFERROR(VLOOKUP(C48,_Listas!$C$2:$H$80,5,0)*D48/100,0)</f>
        <v>17.1</v>
      </c>
      <c r="I48" s="48" t="s">
        <v>158</v>
      </c>
    </row>
    <row r="49" customFormat="false" ht="19.5" hidden="false" customHeight="true" outlineLevel="0" collapsed="false">
      <c r="B49" s="49"/>
      <c r="C49" s="12" t="s">
        <v>11</v>
      </c>
      <c r="D49" s="13" t="n">
        <v>10</v>
      </c>
      <c r="E49" s="17" t="n">
        <f aca="false">IFERROR(VLOOKUP(C49,_Listas!$C$2:$H$80,2,0)*D49/100,0)</f>
        <v>1.1</v>
      </c>
      <c r="F49" s="17" t="n">
        <f aca="false">IFERROR(VLOOKUP(C49,_Listas!$C$2:$H$80,3,0)*D49/100,0)</f>
        <v>0.13</v>
      </c>
      <c r="G49" s="17" t="n">
        <f aca="false">IFERROR(VLOOKUP(C49,_Listas!$C$2:$H$80,4,0)*D49/100,0)</f>
        <v>0.17</v>
      </c>
      <c r="H49" s="17" t="n">
        <f aca="false">IFERROR(VLOOKUP(C49,_Listas!$C$2:$H$80,5,0)*D49/100,0)</f>
        <v>0.02</v>
      </c>
      <c r="I49" s="18" t="s">
        <v>159</v>
      </c>
    </row>
    <row r="50" customFormat="false" ht="19.5" hidden="false" customHeight="true" outlineLevel="0" collapsed="false">
      <c r="B50" s="49"/>
      <c r="C50" s="12" t="s">
        <v>79</v>
      </c>
      <c r="D50" s="13" t="n">
        <v>10</v>
      </c>
      <c r="E50" s="47" t="n">
        <f aca="false">IFERROR(VLOOKUP(C50,_Listas!$C$2:$H$80,2,0)*D50/100,0)</f>
        <v>1.8</v>
      </c>
      <c r="F50" s="47" t="n">
        <f aca="false">IFERROR(VLOOKUP(C50,_Listas!$C$2:$H$80,3,0)*D50/100,0)</f>
        <v>0.09</v>
      </c>
      <c r="G50" s="47" t="n">
        <f aca="false">IFERROR(VLOOKUP(C50,_Listas!$C$2:$H$80,4,0)*D50/100,0)</f>
        <v>0.35</v>
      </c>
      <c r="H50" s="47" t="n">
        <f aca="false">IFERROR(VLOOKUP(C50,_Listas!$C$2:$H$80,5,0)*D50/100,0)</f>
        <v>0.02</v>
      </c>
      <c r="I50" s="48" t="s">
        <v>160</v>
      </c>
    </row>
    <row r="51" customFormat="false" ht="19.5" hidden="false" customHeight="true" outlineLevel="0" collapsed="false">
      <c r="B51" s="49"/>
      <c r="C51" s="12" t="s">
        <v>30</v>
      </c>
      <c r="D51" s="13" t="n">
        <v>20</v>
      </c>
      <c r="E51" s="17" t="n">
        <f aca="false">IFERROR(VLOOKUP(C51,_Listas!$C$2:$H$80,2,0)*D51/100,0)</f>
        <v>20</v>
      </c>
      <c r="F51" s="17" t="n">
        <f aca="false">IFERROR(VLOOKUP(C51,_Listas!$C$2:$H$80,3,0)*D51/100,0)</f>
        <v>0.3</v>
      </c>
      <c r="G51" s="17" t="n">
        <f aca="false">IFERROR(VLOOKUP(C51,_Listas!$C$2:$H$80,4,0)*D51/100,0)</f>
        <v>4.8</v>
      </c>
      <c r="H51" s="17" t="n">
        <f aca="false">IFERROR(VLOOKUP(C51,_Listas!$C$2:$H$80,5,0)*D51/100,0)</f>
        <v>0.08</v>
      </c>
      <c r="I51" s="18" t="s">
        <v>161</v>
      </c>
    </row>
    <row r="52" customFormat="false" ht="18" hidden="false" customHeight="true" outlineLevel="0" collapsed="false">
      <c r="B52" s="50" t="s">
        <v>126</v>
      </c>
      <c r="C52" s="50"/>
      <c r="D52" s="51" t="n">
        <f aca="false">SUM(D44:D51)</f>
        <v>655</v>
      </c>
      <c r="E52" s="51" t="n">
        <f aca="false">SUM(E44:E51)</f>
        <v>698.15</v>
      </c>
      <c r="F52" s="51" t="n">
        <f aca="false">SUM(F44:F51)</f>
        <v>61.22</v>
      </c>
      <c r="G52" s="51" t="n">
        <f aca="false">SUM(G44:G51)</f>
        <v>42.72</v>
      </c>
      <c r="H52" s="51" t="n">
        <f aca="false">SUM(H44:H51)</f>
        <v>30.845</v>
      </c>
      <c r="I52" s="52"/>
    </row>
    <row r="53" customFormat="false" ht="3.75" hidden="false" customHeight="true" outlineLevel="0" collapsed="false"/>
    <row r="54" customFormat="false" ht="19.5" hidden="false" customHeight="true" outlineLevel="0" collapsed="false">
      <c r="B54" s="53" t="s">
        <v>127</v>
      </c>
      <c r="C54" s="53"/>
      <c r="D54" s="53"/>
      <c r="E54" s="53"/>
      <c r="F54" s="53"/>
      <c r="G54" s="53"/>
      <c r="H54" s="53"/>
      <c r="I54" s="53"/>
    </row>
    <row r="55" customFormat="false" ht="19.5" hidden="false" customHeight="true" outlineLevel="0" collapsed="false">
      <c r="B55" s="54" t="s">
        <v>128</v>
      </c>
      <c r="C55" s="12" t="s">
        <v>44</v>
      </c>
      <c r="D55" s="13" t="n">
        <v>150</v>
      </c>
      <c r="E55" s="55" t="n">
        <f aca="false">IFERROR(VLOOKUP(C55,_Listas!$C$2:$H$80,2,0)*D55/100,0)</f>
        <v>237</v>
      </c>
      <c r="F55" s="55" t="n">
        <f aca="false">IFERROR(VLOOKUP(C55,_Listas!$C$2:$H$80,3,0)*D55/100,0)</f>
        <v>7.2</v>
      </c>
      <c r="G55" s="55" t="n">
        <f aca="false">IFERROR(VLOOKUP(C55,_Listas!$C$2:$H$80,4,0)*D55/100,0)</f>
        <v>47.55</v>
      </c>
      <c r="H55" s="55" t="n">
        <f aca="false">IFERROR(VLOOKUP(C55,_Listas!$C$2:$H$80,5,0)*D55/100,0)</f>
        <v>1.2</v>
      </c>
      <c r="I55" s="56" t="s">
        <v>115</v>
      </c>
    </row>
    <row r="56" customFormat="false" ht="19.5" hidden="false" customHeight="true" outlineLevel="0" collapsed="false">
      <c r="B56" s="57"/>
      <c r="C56" s="12" t="s">
        <v>29</v>
      </c>
      <c r="D56" s="13" t="n">
        <v>140</v>
      </c>
      <c r="E56" s="17" t="n">
        <f aca="false">IFERROR(VLOOKUP(C56,_Listas!$C$2:$H$80,2,0)*D56/100,0)</f>
        <v>306.6</v>
      </c>
      <c r="F56" s="17" t="n">
        <f aca="false">IFERROR(VLOOKUP(C56,_Listas!$C$2:$H$80,3,0)*D56/100,0)</f>
        <v>49</v>
      </c>
      <c r="G56" s="17" t="n">
        <f aca="false">IFERROR(VLOOKUP(C56,_Listas!$C$2:$H$80,4,0)*D56/100,0)</f>
        <v>0</v>
      </c>
      <c r="H56" s="17" t="n">
        <f aca="false">IFERROR(VLOOKUP(C56,_Listas!$C$2:$H$80,5,0)*D56/100,0)</f>
        <v>11.9</v>
      </c>
      <c r="I56" s="18" t="s">
        <v>162</v>
      </c>
    </row>
    <row r="57" customFormat="false" ht="19.5" hidden="false" customHeight="true" outlineLevel="0" collapsed="false">
      <c r="B57" s="57"/>
      <c r="C57" s="12" t="s">
        <v>52</v>
      </c>
      <c r="D57" s="13" t="n">
        <v>100</v>
      </c>
      <c r="E57" s="55" t="n">
        <f aca="false">IFERROR(VLOOKUP(C57,_Listas!$C$2:$H$80,2,0)*D57/100,0)</f>
        <v>35</v>
      </c>
      <c r="F57" s="55" t="n">
        <f aca="false">IFERROR(VLOOKUP(C57,_Listas!$C$2:$H$80,3,0)*D57/100,0)</f>
        <v>1.5</v>
      </c>
      <c r="G57" s="55" t="n">
        <f aca="false">IFERROR(VLOOKUP(C57,_Listas!$C$2:$H$80,4,0)*D57/100,0)</f>
        <v>7</v>
      </c>
      <c r="H57" s="55" t="n">
        <f aca="false">IFERROR(VLOOKUP(C57,_Listas!$C$2:$H$80,5,0)*D57/100,0)</f>
        <v>0.3</v>
      </c>
      <c r="I57" s="56" t="s">
        <v>124</v>
      </c>
    </row>
    <row r="58" customFormat="false" ht="19.5" hidden="false" customHeight="true" outlineLevel="0" collapsed="false">
      <c r="B58" s="57"/>
      <c r="C58" s="12" t="s">
        <v>39</v>
      </c>
      <c r="D58" s="13" t="n">
        <v>140</v>
      </c>
      <c r="E58" s="17" t="n">
        <f aca="false">IFERROR(VLOOKUP(C58,_Listas!$C$2:$H$80,2,0)*D58/100,0)</f>
        <v>64.4</v>
      </c>
      <c r="F58" s="17" t="n">
        <f aca="false">IFERROR(VLOOKUP(C58,_Listas!$C$2:$H$80,3,0)*D58/100,0)</f>
        <v>1.26</v>
      </c>
      <c r="G58" s="17" t="n">
        <f aca="false">IFERROR(VLOOKUP(C58,_Listas!$C$2:$H$80,4,0)*D58/100,0)</f>
        <v>16.1</v>
      </c>
      <c r="H58" s="17" t="n">
        <f aca="false">IFERROR(VLOOKUP(C58,_Listas!$C$2:$H$80,5,0)*D58/100,0)</f>
        <v>0.14</v>
      </c>
      <c r="I58" s="18" t="s">
        <v>102</v>
      </c>
    </row>
    <row r="59" customFormat="false" ht="3.75" hidden="false" customHeight="true" outlineLevel="0" collapsed="false"/>
    <row r="60" customFormat="false" ht="31.5" hidden="false" customHeight="true" outlineLevel="0" collapsed="false">
      <c r="B60" s="58" t="s">
        <v>133</v>
      </c>
      <c r="C60" s="58"/>
      <c r="D60" s="59" t="n">
        <f aca="false">SUM(D9:D15,D19:D19,D23:D27,D38:D40,D44:D51)</f>
        <v>2231</v>
      </c>
      <c r="E60" s="59" t="n">
        <f aca="false">SUM(E9:E15,E19:E19,E23:E27,E38:E40,E44:E51)</f>
        <v>2317.4</v>
      </c>
      <c r="F60" s="59" t="n">
        <f aca="false">SUM(F9:F15,F19:F19,F23:F27,F38:F40,F44:F51)</f>
        <v>212.32</v>
      </c>
      <c r="G60" s="59" t="n">
        <f aca="false">SUM(G9:G15,G19:G19,G23:G27,G38:G40,G44:G51)</f>
        <v>214.56</v>
      </c>
      <c r="H60" s="59" t="n">
        <f aca="false">SUM(H9:H15,H19:H19,H23:H27,H38:H40,H44:H51)</f>
        <v>68.225</v>
      </c>
      <c r="I60" s="60"/>
    </row>
    <row r="61" customFormat="false" ht="21.75" hidden="false" customHeight="true" outlineLevel="0" collapsed="false">
      <c r="B61" s="61" t="s">
        <v>134</v>
      </c>
      <c r="C61" s="61"/>
      <c r="D61" s="62" t="str">
        <f aca="false">IF(E60&lt;C4*0.9,"⚠️ Abaixo da meta",IF(E60&lt;=C4,"✅ Na meta",IF(E60&lt;=C4*1.1,"🟡 Ligeiramente acima","🔴 Acima da meta")))</f>
        <v>🔴 Acima da meta</v>
      </c>
      <c r="E61" s="62"/>
      <c r="F61" s="62"/>
      <c r="G61" s="62"/>
      <c r="H61" s="62"/>
      <c r="I61" s="62"/>
    </row>
    <row r="63" customFormat="false" ht="25.5" hidden="false" customHeight="true" outlineLevel="0" collapsed="false">
      <c r="B63" s="63" t="s">
        <v>135</v>
      </c>
      <c r="C63" s="63"/>
      <c r="D63" s="63"/>
      <c r="E63" s="63"/>
      <c r="F63" s="63"/>
      <c r="G63" s="63"/>
      <c r="H63" s="63"/>
      <c r="I63" s="63"/>
    </row>
    <row r="64" customFormat="false" ht="31.5" hidden="false" customHeight="true" outlineLevel="0" collapsed="false">
      <c r="B64" s="64" t="s">
        <v>136</v>
      </c>
      <c r="C64" s="7" t="s">
        <v>94</v>
      </c>
      <c r="D64" s="7" t="s">
        <v>137</v>
      </c>
      <c r="E64" s="6" t="s">
        <v>138</v>
      </c>
      <c r="F64" s="8" t="s">
        <v>139</v>
      </c>
      <c r="G64" s="9" t="s">
        <v>140</v>
      </c>
      <c r="H64" s="64" t="s">
        <v>141</v>
      </c>
      <c r="I64" s="65"/>
    </row>
    <row r="65" customFormat="false" ht="19.5" hidden="false" customHeight="true" outlineLevel="0" collapsed="false">
      <c r="B65" s="66" t="s">
        <v>100</v>
      </c>
      <c r="C65" s="67" t="n">
        <f aca="false">SUM(E9:E15)</f>
        <v>361.35</v>
      </c>
      <c r="D65" s="68" t="n">
        <f aca="false">IFERROR(C65/E60,0)</f>
        <v>0.155929058427548</v>
      </c>
      <c r="E65" s="69" t="n">
        <f aca="false">SUM(F9:F15)</f>
        <v>13.02</v>
      </c>
      <c r="F65" s="69" t="n">
        <f aca="false">SUM(G9:G15)</f>
        <v>54.37</v>
      </c>
      <c r="G65" s="69" t="n">
        <f aca="false">SUM(H9:H15)</f>
        <v>10.4</v>
      </c>
      <c r="H65" s="70" t="s">
        <v>142</v>
      </c>
      <c r="I65" s="71"/>
    </row>
    <row r="66" customFormat="false" ht="19.5" hidden="false" customHeight="true" outlineLevel="0" collapsed="false">
      <c r="B66" s="72" t="s">
        <v>109</v>
      </c>
      <c r="C66" s="73" t="n">
        <f aca="false">SUM(E19:E19)</f>
        <v>201</v>
      </c>
      <c r="D66" s="74" t="n">
        <f aca="false">IFERROR(C66/E60,0)</f>
        <v>0.0867351342021231</v>
      </c>
      <c r="E66" s="75" t="n">
        <f aca="false">SUM(F19:F19)</f>
        <v>20.1</v>
      </c>
      <c r="F66" s="75" t="n">
        <f aca="false">SUM(G19:G19)</f>
        <v>30</v>
      </c>
      <c r="G66" s="75" t="n">
        <f aca="false">SUM(H19:H19)</f>
        <v>0</v>
      </c>
      <c r="H66" s="76" t="s">
        <v>143</v>
      </c>
      <c r="I66" s="77"/>
    </row>
    <row r="67" customFormat="false" ht="19.5" hidden="false" customHeight="true" outlineLevel="0" collapsed="false">
      <c r="B67" s="78" t="s">
        <v>112</v>
      </c>
      <c r="C67" s="79" t="n">
        <f aca="false">SUM(E23:E27)</f>
        <v>655.3</v>
      </c>
      <c r="D67" s="80" t="n">
        <f aca="false">IFERROR(C67/E60,0)</f>
        <v>0.282773798222146</v>
      </c>
      <c r="E67" s="81" t="n">
        <f aca="false">SUM(F23:F27)</f>
        <v>62.8</v>
      </c>
      <c r="F67" s="81" t="n">
        <f aca="false">SUM(G23:G27)</f>
        <v>58.99</v>
      </c>
      <c r="G67" s="81" t="n">
        <f aca="false">SUM(H23:H27)</f>
        <v>18.12</v>
      </c>
      <c r="H67" s="82" t="s">
        <v>144</v>
      </c>
      <c r="I67" s="83"/>
    </row>
    <row r="68" customFormat="false" ht="19.5" hidden="false" customHeight="true" outlineLevel="0" collapsed="false">
      <c r="B68" s="84" t="s">
        <v>119</v>
      </c>
      <c r="C68" s="92" t="n">
        <f aca="false">SUM(E38:E40)</f>
        <v>401.6</v>
      </c>
      <c r="D68" s="93" t="n">
        <f aca="false">IFERROR(C68/E60,0)</f>
        <v>0.173297661172003</v>
      </c>
      <c r="E68" s="94" t="n">
        <f aca="false">SUM(F38:F40)</f>
        <v>55.18</v>
      </c>
      <c r="F68" s="94" t="n">
        <f aca="false">SUM(G38:G40)</f>
        <v>28.48</v>
      </c>
      <c r="G68" s="94" t="n">
        <f aca="false">SUM(H38:H40)</f>
        <v>8.86</v>
      </c>
      <c r="H68" s="95" t="s">
        <v>145</v>
      </c>
      <c r="I68" s="96"/>
    </row>
    <row r="69" customFormat="false" ht="19.5" hidden="false" customHeight="true" outlineLevel="0" collapsed="false">
      <c r="B69" s="85" t="s">
        <v>123</v>
      </c>
      <c r="C69" s="73" t="n">
        <f aca="false">SUM(E44:E51)</f>
        <v>698.15</v>
      </c>
      <c r="D69" s="74" t="n">
        <f aca="false">IFERROR(C69/E60,0)</f>
        <v>0.30126434797618</v>
      </c>
      <c r="E69" s="75" t="n">
        <f aca="false">SUM(F44:F51)</f>
        <v>61.22</v>
      </c>
      <c r="F69" s="75" t="n">
        <f aca="false">SUM(G44:G51)</f>
        <v>42.72</v>
      </c>
      <c r="G69" s="75" t="n">
        <f aca="false">SUM(H44:H51)</f>
        <v>30.845</v>
      </c>
      <c r="H69" s="76" t="s">
        <v>146</v>
      </c>
      <c r="I69" s="77"/>
    </row>
  </sheetData>
  <mergeCells count="18">
    <mergeCell ref="B2:I2"/>
    <mergeCell ref="B3:I3"/>
    <mergeCell ref="B8:I8"/>
    <mergeCell ref="B16:C16"/>
    <mergeCell ref="B18:I18"/>
    <mergeCell ref="B20:C20"/>
    <mergeCell ref="B22:I22"/>
    <mergeCell ref="B28:C28"/>
    <mergeCell ref="B30:I30"/>
    <mergeCell ref="B37:I37"/>
    <mergeCell ref="B41:C41"/>
    <mergeCell ref="B43:I43"/>
    <mergeCell ref="B52:C52"/>
    <mergeCell ref="B54:I54"/>
    <mergeCell ref="B60:C60"/>
    <mergeCell ref="B61:C61"/>
    <mergeCell ref="D61:I61"/>
    <mergeCell ref="B63:I6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 C23:C27 C31:C35 C38:C40 C44:C51 C55:C58" type="list">
      <formula1>_Listas!$A$2:$A$80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1" t="s">
        <v>163</v>
      </c>
      <c r="C2" s="1"/>
      <c r="D2" s="1"/>
      <c r="E2" s="1"/>
      <c r="F2" s="1"/>
      <c r="G2" s="1"/>
      <c r="H2" s="1"/>
      <c r="I2" s="1"/>
    </row>
    <row r="3" customFormat="false" ht="15.75" hidden="false" customHeight="true" outlineLevel="0" collapsed="false">
      <c r="B3" s="2" t="s">
        <v>86</v>
      </c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B4" s="3" t="s">
        <v>87</v>
      </c>
      <c r="C4" s="4" t="n">
        <v>2000</v>
      </c>
      <c r="D4" s="3" t="s">
        <v>88</v>
      </c>
      <c r="E4" s="4" t="n">
        <v>70</v>
      </c>
      <c r="F4" s="3" t="s">
        <v>89</v>
      </c>
      <c r="G4" s="4" t="s">
        <v>90</v>
      </c>
    </row>
    <row r="5" customFormat="false" ht="6" hidden="false" customHeight="true" outlineLevel="0" collapsed="false"/>
    <row r="6" customFormat="false" ht="39.75" hidden="false" customHeight="true" outlineLevel="0" collapsed="false">
      <c r="B6" s="5" t="s">
        <v>91</v>
      </c>
      <c r="C6" s="5" t="s">
        <v>92</v>
      </c>
      <c r="D6" s="6" t="s">
        <v>93</v>
      </c>
      <c r="E6" s="7" t="s">
        <v>94</v>
      </c>
      <c r="F6" s="6" t="s">
        <v>95</v>
      </c>
      <c r="G6" s="8" t="s">
        <v>96</v>
      </c>
      <c r="H6" s="9" t="s">
        <v>97</v>
      </c>
      <c r="I6" s="5" t="s">
        <v>98</v>
      </c>
    </row>
    <row r="7" customFormat="false" ht="4.5" hidden="false" customHeight="true" outlineLevel="0" collapsed="false"/>
    <row r="8" customFormat="false" ht="24" hidden="false" customHeight="true" outlineLevel="0" collapsed="false">
      <c r="B8" s="10" t="s">
        <v>99</v>
      </c>
      <c r="C8" s="10"/>
      <c r="D8" s="10"/>
      <c r="E8" s="10"/>
      <c r="F8" s="10"/>
      <c r="G8" s="10"/>
      <c r="H8" s="10"/>
      <c r="I8" s="10"/>
    </row>
    <row r="9" customFormat="false" ht="19.5" hidden="false" customHeight="true" outlineLevel="0" collapsed="false">
      <c r="B9" s="11" t="s">
        <v>100</v>
      </c>
      <c r="C9" s="12" t="s">
        <v>23</v>
      </c>
      <c r="D9" s="13" t="n">
        <v>200</v>
      </c>
      <c r="E9" s="14" t="n">
        <f aca="false">IFERROR(VLOOKUP(C9,_Listas!$C$2:$H$80,2,0)*D9/100,0)</f>
        <v>4</v>
      </c>
      <c r="F9" s="14" t="n">
        <f aca="false">IFERROR(VLOOKUP(C9,_Listas!$C$2:$H$80,3,0)*D9/100,0)</f>
        <v>0.6</v>
      </c>
      <c r="G9" s="14" t="n">
        <f aca="false">IFERROR(VLOOKUP(C9,_Listas!$C$2:$H$80,4,0)*D9/100,0)</f>
        <v>0</v>
      </c>
      <c r="H9" s="14" t="n">
        <f aca="false">IFERROR(VLOOKUP(C9,_Listas!$C$2:$H$80,5,0)*D9/100,0)</f>
        <v>0</v>
      </c>
      <c r="I9" s="15" t="s">
        <v>101</v>
      </c>
    </row>
    <row r="10" customFormat="false" ht="19.5" hidden="false" customHeight="true" outlineLevel="0" collapsed="false">
      <c r="B10" s="16"/>
      <c r="C10" s="12" t="s">
        <v>69</v>
      </c>
      <c r="D10" s="13" t="n">
        <v>60</v>
      </c>
      <c r="E10" s="17" t="n">
        <f aca="false">IFERROR(VLOOKUP(C10,_Listas!$C$2:$H$80,2,0)*D10/100,0)</f>
        <v>180</v>
      </c>
      <c r="F10" s="17" t="n">
        <f aca="false">IFERROR(VLOOKUP(C10,_Listas!$C$2:$H$80,3,0)*D10/100,0)</f>
        <v>4.8</v>
      </c>
      <c r="G10" s="17" t="n">
        <f aca="false">IFERROR(VLOOKUP(C10,_Listas!$C$2:$H$80,4,0)*D10/100,0)</f>
        <v>35.16</v>
      </c>
      <c r="H10" s="17" t="n">
        <f aca="false">IFERROR(VLOOKUP(C10,_Listas!$C$2:$H$80,5,0)*D10/100,0)</f>
        <v>1.86</v>
      </c>
      <c r="I10" s="18" t="s">
        <v>102</v>
      </c>
    </row>
    <row r="11" customFormat="false" ht="19.5" hidden="false" customHeight="true" outlineLevel="0" collapsed="false">
      <c r="B11" s="16"/>
      <c r="C11" s="12" t="s">
        <v>73</v>
      </c>
      <c r="D11" s="13" t="n">
        <v>15</v>
      </c>
      <c r="E11" s="14" t="n">
        <f aca="false">IFERROR(VLOOKUP(C11,_Listas!$C$2:$H$80,2,0)*D11/100,0)</f>
        <v>36</v>
      </c>
      <c r="F11" s="14" t="n">
        <f aca="false">IFERROR(VLOOKUP(C11,_Listas!$C$2:$H$80,3,0)*D11/100,0)</f>
        <v>1.05</v>
      </c>
      <c r="G11" s="14" t="n">
        <f aca="false">IFERROR(VLOOKUP(C11,_Listas!$C$2:$H$80,4,0)*D11/100,0)</f>
        <v>0.525</v>
      </c>
      <c r="H11" s="14" t="n">
        <f aca="false">IFERROR(VLOOKUP(C11,_Listas!$C$2:$H$80,5,0)*D11/100,0)</f>
        <v>3.3</v>
      </c>
      <c r="I11" s="15" t="s">
        <v>103</v>
      </c>
    </row>
    <row r="12" customFormat="false" ht="19.5" hidden="false" customHeight="true" outlineLevel="0" collapsed="false">
      <c r="B12" s="16"/>
      <c r="C12" s="12" t="s">
        <v>72</v>
      </c>
      <c r="D12" s="13" t="n">
        <v>20</v>
      </c>
      <c r="E12" s="17" t="n">
        <f aca="false">IFERROR(VLOOKUP(C12,_Listas!$C$2:$H$80,2,0)*D12/100,0)</f>
        <v>57.8</v>
      </c>
      <c r="F12" s="17" t="n">
        <f aca="false">IFERROR(VLOOKUP(C12,_Listas!$C$2:$H$80,3,0)*D12/100,0)</f>
        <v>3.6</v>
      </c>
      <c r="G12" s="17" t="n">
        <f aca="false">IFERROR(VLOOKUP(C12,_Listas!$C$2:$H$80,4,0)*D12/100,0)</f>
        <v>0.52</v>
      </c>
      <c r="H12" s="17" t="n">
        <f aca="false">IFERROR(VLOOKUP(C12,_Listas!$C$2:$H$80,5,0)*D12/100,0)</f>
        <v>4.58</v>
      </c>
      <c r="I12" s="18" t="s">
        <v>104</v>
      </c>
    </row>
    <row r="13" customFormat="false" ht="19.5" hidden="false" customHeight="true" outlineLevel="0" collapsed="false">
      <c r="B13" s="16"/>
      <c r="C13" s="12" t="s">
        <v>16</v>
      </c>
      <c r="D13" s="13" t="n">
        <v>70</v>
      </c>
      <c r="E13" s="14" t="n">
        <f aca="false">IFERROR(VLOOKUP(C13,_Listas!$C$2:$H$80,2,0)*D13/100,0)</f>
        <v>64.4</v>
      </c>
      <c r="F13" s="14" t="n">
        <f aca="false">IFERROR(VLOOKUP(C13,_Listas!$C$2:$H$80,3,0)*D13/100,0)</f>
        <v>0.91</v>
      </c>
      <c r="G13" s="14" t="n">
        <f aca="false">IFERROR(VLOOKUP(C13,_Listas!$C$2:$H$80,4,0)*D13/100,0)</f>
        <v>16.66</v>
      </c>
      <c r="H13" s="14" t="n">
        <f aca="false">IFERROR(VLOOKUP(C13,_Listas!$C$2:$H$80,5,0)*D13/100,0)</f>
        <v>0.07</v>
      </c>
      <c r="I13" s="15" t="s">
        <v>105</v>
      </c>
    </row>
    <row r="14" customFormat="false" ht="19.5" hidden="false" customHeight="true" outlineLevel="0" collapsed="false">
      <c r="B14" s="16"/>
      <c r="C14" s="12" t="s">
        <v>32</v>
      </c>
      <c r="D14" s="13" t="n">
        <v>6</v>
      </c>
      <c r="E14" s="17" t="n">
        <f aca="false">IFERROR(VLOOKUP(C14,_Listas!$C$2:$H$80,2,0)*D14/100,0)</f>
        <v>0</v>
      </c>
      <c r="F14" s="17" t="n">
        <f aca="false">IFERROR(VLOOKUP(C14,_Listas!$C$2:$H$80,3,0)*D14/100,0)</f>
        <v>0</v>
      </c>
      <c r="G14" s="17" t="n">
        <f aca="false">IFERROR(VLOOKUP(C14,_Listas!$C$2:$H$80,4,0)*D14/100,0)</f>
        <v>0</v>
      </c>
      <c r="H14" s="17" t="n">
        <f aca="false">IFERROR(VLOOKUP(C14,_Listas!$C$2:$H$80,5,0)*D14/100,0)</f>
        <v>0</v>
      </c>
      <c r="I14" s="18" t="s">
        <v>106</v>
      </c>
    </row>
    <row r="15" customFormat="false" ht="18" hidden="false" customHeight="true" outlineLevel="0" collapsed="false">
      <c r="B15" s="19" t="s">
        <v>107</v>
      </c>
      <c r="C15" s="19"/>
      <c r="D15" s="20" t="n">
        <f aca="false">SUM(D9:D14)</f>
        <v>371</v>
      </c>
      <c r="E15" s="20" t="n">
        <f aca="false">SUM(E9:E14)</f>
        <v>342.2</v>
      </c>
      <c r="F15" s="20" t="n">
        <f aca="false">SUM(F9:F14)</f>
        <v>10.96</v>
      </c>
      <c r="G15" s="20" t="n">
        <f aca="false">SUM(G9:G14)</f>
        <v>52.865</v>
      </c>
      <c r="H15" s="20" t="n">
        <f aca="false">SUM(H9:H14)</f>
        <v>9.81</v>
      </c>
      <c r="I15" s="21"/>
    </row>
    <row r="16" customFormat="false" ht="3.75" hidden="false" customHeight="true" outlineLevel="0" collapsed="false"/>
    <row r="17" customFormat="false" ht="24" hidden="false" customHeight="true" outlineLevel="0" collapsed="false">
      <c r="B17" s="22" t="s">
        <v>108</v>
      </c>
      <c r="C17" s="22"/>
      <c r="D17" s="22"/>
      <c r="E17" s="22"/>
      <c r="F17" s="22"/>
      <c r="G17" s="22"/>
      <c r="H17" s="22"/>
      <c r="I17" s="22"/>
    </row>
    <row r="18" customFormat="false" ht="19.5" hidden="false" customHeight="true" outlineLevel="0" collapsed="false">
      <c r="B18" s="23" t="s">
        <v>109</v>
      </c>
      <c r="C18" s="12" t="s">
        <v>84</v>
      </c>
      <c r="D18" s="13" t="n">
        <v>300</v>
      </c>
      <c r="E18" s="24" t="n">
        <f aca="false">IFERROR(VLOOKUP(C18,_Listas!$C$2:$H$80,2,0)*D18/100,0)</f>
        <v>201</v>
      </c>
      <c r="F18" s="24" t="n">
        <f aca="false">IFERROR(VLOOKUP(C18,_Listas!$C$2:$H$80,3,0)*D18/100,0)</f>
        <v>20.1</v>
      </c>
      <c r="G18" s="24" t="n">
        <f aca="false">IFERROR(VLOOKUP(C18,_Listas!$C$2:$H$80,4,0)*D18/100,0)</f>
        <v>30</v>
      </c>
      <c r="H18" s="24" t="n">
        <f aca="false">IFERROR(VLOOKUP(C18,_Listas!$C$2:$H$80,5,0)*D18/100,0)</f>
        <v>0</v>
      </c>
      <c r="I18" s="25" t="s">
        <v>102</v>
      </c>
    </row>
    <row r="19" customFormat="false" ht="18" hidden="false" customHeight="true" outlineLevel="0" collapsed="false">
      <c r="B19" s="26" t="s">
        <v>110</v>
      </c>
      <c r="C19" s="26"/>
      <c r="D19" s="27" t="n">
        <f aca="false">SUM(D18:D18)</f>
        <v>300</v>
      </c>
      <c r="E19" s="27" t="n">
        <f aca="false">SUM(E18:E18)</f>
        <v>201</v>
      </c>
      <c r="F19" s="27" t="n">
        <f aca="false">SUM(F18:F18)</f>
        <v>20.1</v>
      </c>
      <c r="G19" s="27" t="n">
        <f aca="false">SUM(G18:G18)</f>
        <v>30</v>
      </c>
      <c r="H19" s="27" t="n">
        <f aca="false">SUM(H18:H18)</f>
        <v>0</v>
      </c>
      <c r="I19" s="28"/>
    </row>
    <row r="20" customFormat="false" ht="3.75" hidden="false" customHeight="true" outlineLevel="0" collapsed="false"/>
    <row r="21" customFormat="false" ht="24" hidden="false" customHeight="true" outlineLevel="0" collapsed="false">
      <c r="B21" s="29" t="s">
        <v>111</v>
      </c>
      <c r="C21" s="29"/>
      <c r="D21" s="29"/>
      <c r="E21" s="29"/>
      <c r="F21" s="29"/>
      <c r="G21" s="29"/>
      <c r="H21" s="29"/>
      <c r="I21" s="29"/>
    </row>
    <row r="22" customFormat="false" ht="19.5" hidden="false" customHeight="true" outlineLevel="0" collapsed="false">
      <c r="B22" s="30" t="s">
        <v>112</v>
      </c>
      <c r="C22" s="12" t="s">
        <v>18</v>
      </c>
      <c r="D22" s="13" t="n">
        <v>150</v>
      </c>
      <c r="E22" s="31" t="n">
        <f aca="false">IFERROR(VLOOKUP(C22,_Listas!$C$2:$H$80,2,0)*D22/100,0)</f>
        <v>139.5</v>
      </c>
      <c r="F22" s="31" t="n">
        <f aca="false">IFERROR(VLOOKUP(C22,_Listas!$C$2:$H$80,3,0)*D22/100,0)</f>
        <v>3.75</v>
      </c>
      <c r="G22" s="31" t="n">
        <f aca="false">IFERROR(VLOOKUP(C22,_Listas!$C$2:$H$80,4,0)*D22/100,0)</f>
        <v>31.5</v>
      </c>
      <c r="H22" s="31" t="n">
        <f aca="false">IFERROR(VLOOKUP(C22,_Listas!$C$2:$H$80,5,0)*D22/100,0)</f>
        <v>0.15</v>
      </c>
      <c r="I22" s="32" t="s">
        <v>113</v>
      </c>
    </row>
    <row r="23" customFormat="false" ht="19.5" hidden="false" customHeight="true" outlineLevel="0" collapsed="false">
      <c r="B23" s="33"/>
      <c r="C23" s="12" t="s">
        <v>34</v>
      </c>
      <c r="D23" s="13" t="n">
        <v>120</v>
      </c>
      <c r="E23" s="17" t="n">
        <f aca="false">IFERROR(VLOOKUP(C23,_Listas!$C$2:$H$80,2,0)*D23/100,0)</f>
        <v>92.4</v>
      </c>
      <c r="F23" s="17" t="n">
        <f aca="false">IFERROR(VLOOKUP(C23,_Listas!$C$2:$H$80,3,0)*D23/100,0)</f>
        <v>5.4</v>
      </c>
      <c r="G23" s="17" t="n">
        <f aca="false">IFERROR(VLOOKUP(C23,_Listas!$C$2:$H$80,4,0)*D23/100,0)</f>
        <v>16.32</v>
      </c>
      <c r="H23" s="17" t="n">
        <f aca="false">IFERROR(VLOOKUP(C23,_Listas!$C$2:$H$80,5,0)*D23/100,0)</f>
        <v>0.6</v>
      </c>
      <c r="I23" s="18" t="s">
        <v>114</v>
      </c>
    </row>
    <row r="24" customFormat="false" ht="19.5" hidden="false" customHeight="true" outlineLevel="0" collapsed="false">
      <c r="B24" s="33"/>
      <c r="C24" s="12" t="s">
        <v>53</v>
      </c>
      <c r="D24" s="13" t="n">
        <v>100</v>
      </c>
      <c r="E24" s="31" t="n">
        <f aca="false">IFERROR(VLOOKUP(C24,_Listas!$C$2:$H$80,2,0)*D24/100,0)</f>
        <v>26</v>
      </c>
      <c r="F24" s="31" t="n">
        <f aca="false">IFERROR(VLOOKUP(C24,_Listas!$C$2:$H$80,3,0)*D24/100,0)</f>
        <v>0.7</v>
      </c>
      <c r="G24" s="31" t="n">
        <f aca="false">IFERROR(VLOOKUP(C24,_Listas!$C$2:$H$80,4,0)*D24/100,0)</f>
        <v>6</v>
      </c>
      <c r="H24" s="31" t="n">
        <f aca="false">IFERROR(VLOOKUP(C24,_Listas!$C$2:$H$80,5,0)*D24/100,0)</f>
        <v>0.1</v>
      </c>
      <c r="I24" s="32" t="s">
        <v>115</v>
      </c>
    </row>
    <row r="25" customFormat="false" ht="19.5" hidden="false" customHeight="true" outlineLevel="0" collapsed="false">
      <c r="B25" s="33"/>
      <c r="C25" s="12" t="s">
        <v>76</v>
      </c>
      <c r="D25" s="13" t="n">
        <v>150</v>
      </c>
      <c r="E25" s="17" t="n">
        <f aca="false">IFERROR(VLOOKUP(C25,_Listas!$C$2:$H$80,2,0)*D25/100,0)</f>
        <v>322.5</v>
      </c>
      <c r="F25" s="17" t="n">
        <f aca="false">IFERROR(VLOOKUP(C25,_Listas!$C$2:$H$80,3,0)*D25/100,0)</f>
        <v>31.5</v>
      </c>
      <c r="G25" s="17" t="n">
        <f aca="false">IFERROR(VLOOKUP(C25,_Listas!$C$2:$H$80,4,0)*D25/100,0)</f>
        <v>0</v>
      </c>
      <c r="H25" s="17" t="n">
        <f aca="false">IFERROR(VLOOKUP(C25,_Listas!$C$2:$H$80,5,0)*D25/100,0)</f>
        <v>21</v>
      </c>
      <c r="I25" s="18" t="s">
        <v>116</v>
      </c>
    </row>
    <row r="26" customFormat="false" ht="19.5" hidden="false" customHeight="true" outlineLevel="0" collapsed="false">
      <c r="B26" s="33"/>
      <c r="C26" s="12" t="s">
        <v>49</v>
      </c>
      <c r="D26" s="13" t="n">
        <v>150</v>
      </c>
      <c r="E26" s="31" t="n">
        <f aca="false">IFERROR(VLOOKUP(C26,_Listas!$C$2:$H$80,2,0)*D26/100,0)</f>
        <v>49.5</v>
      </c>
      <c r="F26" s="31" t="n">
        <f aca="false">IFERROR(VLOOKUP(C26,_Listas!$C$2:$H$80,3,0)*D26/100,0)</f>
        <v>1.05</v>
      </c>
      <c r="G26" s="31" t="n">
        <f aca="false">IFERROR(VLOOKUP(C26,_Listas!$C$2:$H$80,4,0)*D26/100,0)</f>
        <v>12</v>
      </c>
      <c r="H26" s="31" t="n">
        <f aca="false">IFERROR(VLOOKUP(C26,_Listas!$C$2:$H$80,5,0)*D26/100,0)</f>
        <v>0.3</v>
      </c>
      <c r="I26" s="32" t="s">
        <v>104</v>
      </c>
    </row>
    <row r="27" customFormat="false" ht="18" hidden="false" customHeight="true" outlineLevel="0" collapsed="false">
      <c r="B27" s="34" t="s">
        <v>117</v>
      </c>
      <c r="C27" s="34"/>
      <c r="D27" s="35" t="n">
        <f aca="false">SUM(D22:D26)</f>
        <v>670</v>
      </c>
      <c r="E27" s="35" t="n">
        <f aca="false">SUM(E22:E26)</f>
        <v>629.9</v>
      </c>
      <c r="F27" s="35" t="n">
        <f aca="false">SUM(F22:F26)</f>
        <v>42.4</v>
      </c>
      <c r="G27" s="35" t="n">
        <f aca="false">SUM(G22:G26)</f>
        <v>65.82</v>
      </c>
      <c r="H27" s="35" t="n">
        <f aca="false">SUM(H22:H26)</f>
        <v>22.15</v>
      </c>
      <c r="I27" s="36"/>
    </row>
    <row r="28" customFormat="false" ht="3.75" hidden="false" customHeight="true" outlineLevel="0" collapsed="false"/>
    <row r="29" customFormat="false" ht="24" hidden="false" customHeight="true" outlineLevel="0" collapsed="false">
      <c r="B29" s="37" t="s">
        <v>118</v>
      </c>
      <c r="C29" s="37"/>
      <c r="D29" s="37"/>
      <c r="E29" s="37"/>
      <c r="F29" s="37"/>
      <c r="G29" s="37"/>
      <c r="H29" s="37"/>
      <c r="I29" s="37"/>
    </row>
    <row r="30" customFormat="false" ht="19.5" hidden="false" customHeight="true" outlineLevel="0" collapsed="false">
      <c r="B30" s="38" t="s">
        <v>119</v>
      </c>
      <c r="C30" s="12" t="s">
        <v>23</v>
      </c>
      <c r="D30" s="13" t="n">
        <v>200</v>
      </c>
      <c r="E30" s="39" t="n">
        <f aca="false">IFERROR(VLOOKUP(C30,_Listas!$C$2:$H$80,2,0)*D30/100,0)</f>
        <v>4</v>
      </c>
      <c r="F30" s="39" t="n">
        <f aca="false">IFERROR(VLOOKUP(C30,_Listas!$C$2:$H$80,3,0)*D30/100,0)</f>
        <v>0.6</v>
      </c>
      <c r="G30" s="39" t="n">
        <f aca="false">IFERROR(VLOOKUP(C30,_Listas!$C$2:$H$80,4,0)*D30/100,0)</f>
        <v>0</v>
      </c>
      <c r="H30" s="39" t="n">
        <f aca="false">IFERROR(VLOOKUP(C30,_Listas!$C$2:$H$80,5,0)*D30/100,0)</f>
        <v>0</v>
      </c>
      <c r="I30" s="40" t="s">
        <v>101</v>
      </c>
    </row>
    <row r="31" customFormat="false" ht="19.5" hidden="false" customHeight="true" outlineLevel="0" collapsed="false">
      <c r="B31" s="41"/>
      <c r="C31" s="12" t="s">
        <v>69</v>
      </c>
      <c r="D31" s="13" t="n">
        <v>60</v>
      </c>
      <c r="E31" s="17" t="n">
        <f aca="false">IFERROR(VLOOKUP(C31,_Listas!$C$2:$H$80,2,0)*D31/100,0)</f>
        <v>180</v>
      </c>
      <c r="F31" s="17" t="n">
        <f aca="false">IFERROR(VLOOKUP(C31,_Listas!$C$2:$H$80,3,0)*D31/100,0)</f>
        <v>4.8</v>
      </c>
      <c r="G31" s="17" t="n">
        <f aca="false">IFERROR(VLOOKUP(C31,_Listas!$C$2:$H$80,4,0)*D31/100,0)</f>
        <v>35.16</v>
      </c>
      <c r="H31" s="17" t="n">
        <f aca="false">IFERROR(VLOOKUP(C31,_Listas!$C$2:$H$80,5,0)*D31/100,0)</f>
        <v>1.86</v>
      </c>
      <c r="I31" s="18" t="s">
        <v>102</v>
      </c>
    </row>
    <row r="32" customFormat="false" ht="19.5" hidden="false" customHeight="true" outlineLevel="0" collapsed="false">
      <c r="B32" s="41"/>
      <c r="C32" s="12" t="s">
        <v>35</v>
      </c>
      <c r="D32" s="13" t="n">
        <v>50</v>
      </c>
      <c r="E32" s="39" t="n">
        <f aca="false">IFERROR(VLOOKUP(C32,_Listas!$C$2:$H$80,2,0)*D32/100,0)</f>
        <v>81.5</v>
      </c>
      <c r="F32" s="39" t="n">
        <f aca="false">IFERROR(VLOOKUP(C32,_Listas!$C$2:$H$80,3,0)*D32/100,0)</f>
        <v>15.75</v>
      </c>
      <c r="G32" s="39" t="n">
        <f aca="false">IFERROR(VLOOKUP(C32,_Listas!$C$2:$H$80,4,0)*D32/100,0)</f>
        <v>0</v>
      </c>
      <c r="H32" s="39" t="n">
        <f aca="false">IFERROR(VLOOKUP(C32,_Listas!$C$2:$H$80,5,0)*D32/100,0)</f>
        <v>1.85</v>
      </c>
      <c r="I32" s="40" t="s">
        <v>120</v>
      </c>
    </row>
    <row r="33" customFormat="false" ht="19.5" hidden="false" customHeight="true" outlineLevel="0" collapsed="false">
      <c r="B33" s="41"/>
      <c r="C33" s="12" t="s">
        <v>50</v>
      </c>
      <c r="D33" s="13" t="n">
        <v>150</v>
      </c>
      <c r="E33" s="17" t="n">
        <f aca="false">IFERROR(VLOOKUP(C33,_Listas!$C$2:$H$80,2,0)*D33/100,0)</f>
        <v>43.5</v>
      </c>
      <c r="F33" s="17" t="n">
        <f aca="false">IFERROR(VLOOKUP(C33,_Listas!$C$2:$H$80,3,0)*D33/100,0)</f>
        <v>1.05</v>
      </c>
      <c r="G33" s="17" t="n">
        <f aca="false">IFERROR(VLOOKUP(C33,_Listas!$C$2:$H$80,4,0)*D33/100,0)</f>
        <v>11.1</v>
      </c>
      <c r="H33" s="17" t="n">
        <f aca="false">IFERROR(VLOOKUP(C33,_Listas!$C$2:$H$80,5,0)*D33/100,0)</f>
        <v>0.15</v>
      </c>
      <c r="I33" s="18" t="s">
        <v>104</v>
      </c>
    </row>
    <row r="34" customFormat="false" ht="18" hidden="false" customHeight="true" outlineLevel="0" collapsed="false">
      <c r="B34" s="42" t="s">
        <v>121</v>
      </c>
      <c r="C34" s="42"/>
      <c r="D34" s="43" t="n">
        <f aca="false">SUM(D30:D33)</f>
        <v>460</v>
      </c>
      <c r="E34" s="43" t="n">
        <f aca="false">SUM(E30:E33)</f>
        <v>309</v>
      </c>
      <c r="F34" s="43" t="n">
        <f aca="false">SUM(F30:F33)</f>
        <v>22.2</v>
      </c>
      <c r="G34" s="43" t="n">
        <f aca="false">SUM(G30:G33)</f>
        <v>46.26</v>
      </c>
      <c r="H34" s="43" t="n">
        <f aca="false">SUM(H30:H33)</f>
        <v>3.86</v>
      </c>
      <c r="I34" s="44"/>
    </row>
    <row r="35" customFormat="false" ht="3.75" hidden="false" customHeight="true" outlineLevel="0" collapsed="false"/>
    <row r="36" customFormat="false" ht="24" hidden="false" customHeight="true" outlineLevel="0" collapsed="false">
      <c r="B36" s="45" t="s">
        <v>122</v>
      </c>
      <c r="C36" s="45"/>
      <c r="D36" s="45"/>
      <c r="E36" s="45"/>
      <c r="F36" s="45"/>
      <c r="G36" s="45"/>
      <c r="H36" s="45"/>
      <c r="I36" s="45"/>
    </row>
    <row r="37" customFormat="false" ht="19.5" hidden="false" customHeight="true" outlineLevel="0" collapsed="false">
      <c r="B37" s="46" t="s">
        <v>123</v>
      </c>
      <c r="C37" s="12" t="s">
        <v>13</v>
      </c>
      <c r="D37" s="13" t="n">
        <v>140</v>
      </c>
      <c r="E37" s="47" t="n">
        <f aca="false">IFERROR(VLOOKUP(C37,_Listas!$C$2:$H$80,2,0)*D37/100,0)</f>
        <v>179.2</v>
      </c>
      <c r="F37" s="47" t="n">
        <f aca="false">IFERROR(VLOOKUP(C37,_Listas!$C$2:$H$80,3,0)*D37/100,0)</f>
        <v>3.5</v>
      </c>
      <c r="G37" s="47" t="n">
        <f aca="false">IFERROR(VLOOKUP(C37,_Listas!$C$2:$H$80,4,0)*D37/100,0)</f>
        <v>39.34</v>
      </c>
      <c r="H37" s="47" t="n">
        <f aca="false">IFERROR(VLOOKUP(C37,_Listas!$C$2:$H$80,5,0)*D37/100,0)</f>
        <v>0.28</v>
      </c>
      <c r="I37" s="48" t="s">
        <v>124</v>
      </c>
    </row>
    <row r="38" customFormat="false" ht="19.5" hidden="false" customHeight="true" outlineLevel="0" collapsed="false">
      <c r="B38" s="49"/>
      <c r="C38" s="12" t="s">
        <v>34</v>
      </c>
      <c r="D38" s="13" t="n">
        <v>120</v>
      </c>
      <c r="E38" s="17" t="n">
        <f aca="false">IFERROR(VLOOKUP(C38,_Listas!$C$2:$H$80,2,0)*D38/100,0)</f>
        <v>92.4</v>
      </c>
      <c r="F38" s="17" t="n">
        <f aca="false">IFERROR(VLOOKUP(C38,_Listas!$C$2:$H$80,3,0)*D38/100,0)</f>
        <v>5.4</v>
      </c>
      <c r="G38" s="17" t="n">
        <f aca="false">IFERROR(VLOOKUP(C38,_Listas!$C$2:$H$80,4,0)*D38/100,0)</f>
        <v>16.32</v>
      </c>
      <c r="H38" s="17" t="n">
        <f aca="false">IFERROR(VLOOKUP(C38,_Listas!$C$2:$H$80,5,0)*D38/100,0)</f>
        <v>0.6</v>
      </c>
      <c r="I38" s="18" t="s">
        <v>114</v>
      </c>
    </row>
    <row r="39" customFormat="false" ht="19.5" hidden="false" customHeight="true" outlineLevel="0" collapsed="false">
      <c r="B39" s="49"/>
      <c r="C39" s="12" t="s">
        <v>35</v>
      </c>
      <c r="D39" s="13" t="n">
        <v>140</v>
      </c>
      <c r="E39" s="47" t="n">
        <f aca="false">IFERROR(VLOOKUP(C39,_Listas!$C$2:$H$80,2,0)*D39/100,0)</f>
        <v>228.2</v>
      </c>
      <c r="F39" s="47" t="n">
        <f aca="false">IFERROR(VLOOKUP(C39,_Listas!$C$2:$H$80,3,0)*D39/100,0)</f>
        <v>44.1</v>
      </c>
      <c r="G39" s="47" t="n">
        <f aca="false">IFERROR(VLOOKUP(C39,_Listas!$C$2:$H$80,4,0)*D39/100,0)</f>
        <v>0</v>
      </c>
      <c r="H39" s="47" t="n">
        <f aca="false">IFERROR(VLOOKUP(C39,_Listas!$C$2:$H$80,5,0)*D39/100,0)</f>
        <v>5.18</v>
      </c>
      <c r="I39" s="48" t="s">
        <v>125</v>
      </c>
    </row>
    <row r="40" customFormat="false" ht="19.5" hidden="false" customHeight="true" outlineLevel="0" collapsed="false">
      <c r="B40" s="49"/>
      <c r="C40" s="12" t="s">
        <v>50</v>
      </c>
      <c r="D40" s="13" t="n">
        <v>150</v>
      </c>
      <c r="E40" s="17" t="n">
        <f aca="false">IFERROR(VLOOKUP(C40,_Listas!$C$2:$H$80,2,0)*D40/100,0)</f>
        <v>43.5</v>
      </c>
      <c r="F40" s="17" t="n">
        <f aca="false">IFERROR(VLOOKUP(C40,_Listas!$C$2:$H$80,3,0)*D40/100,0)</f>
        <v>1.05</v>
      </c>
      <c r="G40" s="17" t="n">
        <f aca="false">IFERROR(VLOOKUP(C40,_Listas!$C$2:$H$80,4,0)*D40/100,0)</f>
        <v>11.1</v>
      </c>
      <c r="H40" s="17" t="n">
        <f aca="false">IFERROR(VLOOKUP(C40,_Listas!$C$2:$H$80,5,0)*D40/100,0)</f>
        <v>0.15</v>
      </c>
      <c r="I40" s="18" t="s">
        <v>104</v>
      </c>
    </row>
    <row r="41" customFormat="false" ht="18" hidden="false" customHeight="true" outlineLevel="0" collapsed="false">
      <c r="B41" s="50" t="s">
        <v>126</v>
      </c>
      <c r="C41" s="50"/>
      <c r="D41" s="51" t="n">
        <f aca="false">SUM(D37:D40)</f>
        <v>550</v>
      </c>
      <c r="E41" s="51" t="n">
        <f aca="false">SUM(E37:E40)</f>
        <v>543.3</v>
      </c>
      <c r="F41" s="51" t="n">
        <f aca="false">SUM(F37:F40)</f>
        <v>54.05</v>
      </c>
      <c r="G41" s="51" t="n">
        <f aca="false">SUM(G37:G40)</f>
        <v>66.76</v>
      </c>
      <c r="H41" s="51" t="n">
        <f aca="false">SUM(H37:H40)</f>
        <v>6.21</v>
      </c>
      <c r="I41" s="52"/>
    </row>
    <row r="42" customFormat="false" ht="3.75" hidden="false" customHeight="true" outlineLevel="0" collapsed="false"/>
    <row r="43" customFormat="false" ht="19.5" hidden="false" customHeight="true" outlineLevel="0" collapsed="false">
      <c r="B43" s="53" t="s">
        <v>127</v>
      </c>
      <c r="C43" s="53"/>
      <c r="D43" s="53"/>
      <c r="E43" s="53"/>
      <c r="F43" s="53"/>
      <c r="G43" s="53"/>
      <c r="H43" s="53"/>
      <c r="I43" s="53"/>
    </row>
    <row r="44" customFormat="false" ht="19.5" hidden="false" customHeight="true" outlineLevel="0" collapsed="false">
      <c r="B44" s="54" t="s">
        <v>128</v>
      </c>
      <c r="C44" s="12" t="s">
        <v>77</v>
      </c>
      <c r="D44" s="13" t="n">
        <v>200</v>
      </c>
      <c r="E44" s="55" t="n">
        <f aca="false">IFERROR(VLOOKUP(C44,_Listas!$C$2:$H$80,2,0)*D44/100,0)</f>
        <v>90</v>
      </c>
      <c r="F44" s="55" t="n">
        <f aca="false">IFERROR(VLOOKUP(C44,_Listas!$C$2:$H$80,3,0)*D44/100,0)</f>
        <v>1.4</v>
      </c>
      <c r="G44" s="55" t="n">
        <f aca="false">IFERROR(VLOOKUP(C44,_Listas!$C$2:$H$80,4,0)*D44/100,0)</f>
        <v>21.4</v>
      </c>
      <c r="H44" s="55" t="n">
        <f aca="false">IFERROR(VLOOKUP(C44,_Listas!$C$2:$H$80,5,0)*D44/100,0)</f>
        <v>0.4</v>
      </c>
      <c r="I44" s="56" t="s">
        <v>129</v>
      </c>
    </row>
    <row r="45" customFormat="false" ht="19.5" hidden="false" customHeight="true" outlineLevel="0" collapsed="false">
      <c r="B45" s="57"/>
      <c r="C45" s="12" t="s">
        <v>78</v>
      </c>
      <c r="D45" s="13" t="n">
        <v>30</v>
      </c>
      <c r="E45" s="17" t="n">
        <f aca="false">IFERROR(VLOOKUP(C45,_Listas!$C$2:$H$80,2,0)*D45/100,0)</f>
        <v>106.2</v>
      </c>
      <c r="F45" s="17" t="n">
        <f aca="false">IFERROR(VLOOKUP(C45,_Listas!$C$2:$H$80,3,0)*D45/100,0)</f>
        <v>0.03</v>
      </c>
      <c r="G45" s="17" t="n">
        <f aca="false">IFERROR(VLOOKUP(C45,_Listas!$C$2:$H$80,4,0)*D45/100,0)</f>
        <v>26.34</v>
      </c>
      <c r="H45" s="17" t="n">
        <f aca="false">IFERROR(VLOOKUP(C45,_Listas!$C$2:$H$80,5,0)*D45/100,0)</f>
        <v>0.09</v>
      </c>
      <c r="I45" s="18" t="s">
        <v>130</v>
      </c>
    </row>
    <row r="46" customFormat="false" ht="19.5" hidden="false" customHeight="true" outlineLevel="0" collapsed="false">
      <c r="B46" s="57"/>
      <c r="C46" s="12" t="s">
        <v>55</v>
      </c>
      <c r="D46" s="13" t="n">
        <v>100</v>
      </c>
      <c r="E46" s="55" t="n">
        <f aca="false">IFERROR(VLOOKUP(C46,_Listas!$C$2:$H$80,2,0)*D46/100,0)</f>
        <v>146</v>
      </c>
      <c r="F46" s="55" t="n">
        <f aca="false">IFERROR(VLOOKUP(C46,_Listas!$C$2:$H$80,3,0)*D46/100,0)</f>
        <v>13.3</v>
      </c>
      <c r="G46" s="55" t="n">
        <f aca="false">IFERROR(VLOOKUP(C46,_Listas!$C$2:$H$80,4,0)*D46/100,0)</f>
        <v>0.6</v>
      </c>
      <c r="H46" s="55" t="n">
        <f aca="false">IFERROR(VLOOKUP(C46,_Listas!$C$2:$H$80,5,0)*D46/100,0)</f>
        <v>10</v>
      </c>
      <c r="I46" s="56" t="s">
        <v>131</v>
      </c>
    </row>
    <row r="47" customFormat="false" ht="19.5" hidden="false" customHeight="true" outlineLevel="0" collapsed="false">
      <c r="B47" s="57"/>
      <c r="C47" s="12" t="s">
        <v>72</v>
      </c>
      <c r="D47" s="13" t="n">
        <v>20</v>
      </c>
      <c r="E47" s="17" t="n">
        <f aca="false">IFERROR(VLOOKUP(C47,_Listas!$C$2:$H$80,2,0)*D47/100,0)</f>
        <v>57.8</v>
      </c>
      <c r="F47" s="17" t="n">
        <f aca="false">IFERROR(VLOOKUP(C47,_Listas!$C$2:$H$80,3,0)*D47/100,0)</f>
        <v>3.6</v>
      </c>
      <c r="G47" s="17" t="n">
        <f aca="false">IFERROR(VLOOKUP(C47,_Listas!$C$2:$H$80,4,0)*D47/100,0)</f>
        <v>0.52</v>
      </c>
      <c r="H47" s="17" t="n">
        <f aca="false">IFERROR(VLOOKUP(C47,_Listas!$C$2:$H$80,5,0)*D47/100,0)</f>
        <v>4.58</v>
      </c>
      <c r="I47" s="18" t="s">
        <v>104</v>
      </c>
    </row>
    <row r="48" customFormat="false" ht="19.5" hidden="false" customHeight="true" outlineLevel="0" collapsed="false">
      <c r="B48" s="57"/>
      <c r="C48" s="12" t="s">
        <v>35</v>
      </c>
      <c r="D48" s="13" t="n">
        <v>80</v>
      </c>
      <c r="E48" s="55" t="n">
        <f aca="false">IFERROR(VLOOKUP(C48,_Listas!$C$2:$H$80,2,0)*D48/100,0)</f>
        <v>130.4</v>
      </c>
      <c r="F48" s="55" t="n">
        <f aca="false">IFERROR(VLOOKUP(C48,_Listas!$C$2:$H$80,3,0)*D48/100,0)</f>
        <v>25.2</v>
      </c>
      <c r="G48" s="55" t="n">
        <f aca="false">IFERROR(VLOOKUP(C48,_Listas!$C$2:$H$80,4,0)*D48/100,0)</f>
        <v>0</v>
      </c>
      <c r="H48" s="55" t="n">
        <f aca="false">IFERROR(VLOOKUP(C48,_Listas!$C$2:$H$80,5,0)*D48/100,0)</f>
        <v>2.96</v>
      </c>
      <c r="I48" s="56" t="s">
        <v>132</v>
      </c>
    </row>
    <row r="49" customFormat="false" ht="3.75" hidden="false" customHeight="true" outlineLevel="0" collapsed="false"/>
    <row r="50" customFormat="false" ht="31.5" hidden="false" customHeight="true" outlineLevel="0" collapsed="false">
      <c r="B50" s="58" t="s">
        <v>133</v>
      </c>
      <c r="C50" s="58"/>
      <c r="D50" s="59" t="n">
        <f aca="false">SUM(D9:D14,D18:D18,D22:D26,D30:D33,D37:D40)</f>
        <v>2351</v>
      </c>
      <c r="E50" s="59" t="n">
        <f aca="false">SUM(E9:E14,E18:E18,E22:E26,E30:E33,E37:E40)</f>
        <v>2025.4</v>
      </c>
      <c r="F50" s="59" t="n">
        <f aca="false">SUM(F9:F14,F18:F18,F22:F26,F30:F33,F37:F40)</f>
        <v>149.71</v>
      </c>
      <c r="G50" s="59" t="n">
        <f aca="false">SUM(G9:G14,G18:G18,G22:G26,G30:G33,G37:G40)</f>
        <v>261.705</v>
      </c>
      <c r="H50" s="59" t="n">
        <f aca="false">SUM(H9:H14,H18:H18,H22:H26,H30:H33,H37:H40)</f>
        <v>42.03</v>
      </c>
      <c r="I50" s="60"/>
    </row>
    <row r="51" customFormat="false" ht="21.75" hidden="false" customHeight="true" outlineLevel="0" collapsed="false">
      <c r="B51" s="61" t="s">
        <v>134</v>
      </c>
      <c r="C51" s="61"/>
      <c r="D51" s="62" t="str">
        <f aca="false">IF(E50&lt;C4*0.9,"⚠️ Abaixo da meta",IF(E50&lt;=C4,"✅ Na meta",IF(E50&lt;=C4*1.1,"🟡 Ligeiramente acima","🔴 Acima da meta")))</f>
        <v>🟡 Ligeiramente acima</v>
      </c>
      <c r="E51" s="62"/>
      <c r="F51" s="62"/>
      <c r="G51" s="62"/>
      <c r="H51" s="62"/>
      <c r="I51" s="62"/>
    </row>
    <row r="53" customFormat="false" ht="25.5" hidden="false" customHeight="true" outlineLevel="0" collapsed="false">
      <c r="B53" s="63" t="s">
        <v>135</v>
      </c>
      <c r="C53" s="63"/>
      <c r="D53" s="63"/>
      <c r="E53" s="63"/>
      <c r="F53" s="63"/>
      <c r="G53" s="63"/>
      <c r="H53" s="63"/>
      <c r="I53" s="63"/>
    </row>
    <row r="54" customFormat="false" ht="31.5" hidden="false" customHeight="true" outlineLevel="0" collapsed="false">
      <c r="B54" s="64" t="s">
        <v>136</v>
      </c>
      <c r="C54" s="7" t="s">
        <v>94</v>
      </c>
      <c r="D54" s="7" t="s">
        <v>137</v>
      </c>
      <c r="E54" s="6" t="s">
        <v>138</v>
      </c>
      <c r="F54" s="8" t="s">
        <v>139</v>
      </c>
      <c r="G54" s="9" t="s">
        <v>140</v>
      </c>
      <c r="H54" s="64" t="s">
        <v>141</v>
      </c>
      <c r="I54" s="65"/>
    </row>
    <row r="55" customFormat="false" ht="19.5" hidden="false" customHeight="true" outlineLevel="0" collapsed="false">
      <c r="B55" s="66" t="s">
        <v>100</v>
      </c>
      <c r="C55" s="67" t="n">
        <f aca="false">SUM(E9:E14)</f>
        <v>342.2</v>
      </c>
      <c r="D55" s="68" t="n">
        <f aca="false">IFERROR(C55/E50,0)</f>
        <v>0.168954280635924</v>
      </c>
      <c r="E55" s="69" t="n">
        <f aca="false">SUM(F9:F14)</f>
        <v>10.96</v>
      </c>
      <c r="F55" s="69" t="n">
        <f aca="false">SUM(G9:G14)</f>
        <v>52.865</v>
      </c>
      <c r="G55" s="69" t="n">
        <f aca="false">SUM(H9:H14)</f>
        <v>9.81</v>
      </c>
      <c r="H55" s="70" t="s">
        <v>142</v>
      </c>
      <c r="I55" s="71"/>
    </row>
    <row r="56" customFormat="false" ht="19.5" hidden="false" customHeight="true" outlineLevel="0" collapsed="false">
      <c r="B56" s="72" t="s">
        <v>109</v>
      </c>
      <c r="C56" s="73" t="n">
        <f aca="false">SUM(E18:E18)</f>
        <v>201</v>
      </c>
      <c r="D56" s="74" t="n">
        <f aca="false">IFERROR(C56/E50,0)</f>
        <v>0.099239656364175</v>
      </c>
      <c r="E56" s="75" t="n">
        <f aca="false">SUM(F18:F18)</f>
        <v>20.1</v>
      </c>
      <c r="F56" s="75" t="n">
        <f aca="false">SUM(G18:G18)</f>
        <v>30</v>
      </c>
      <c r="G56" s="75" t="n">
        <f aca="false">SUM(H18:H18)</f>
        <v>0</v>
      </c>
      <c r="H56" s="76" t="s">
        <v>143</v>
      </c>
      <c r="I56" s="77"/>
    </row>
    <row r="57" customFormat="false" ht="19.5" hidden="false" customHeight="true" outlineLevel="0" collapsed="false">
      <c r="B57" s="78" t="s">
        <v>112</v>
      </c>
      <c r="C57" s="79" t="n">
        <f aca="false">SUM(E22:E26)</f>
        <v>629.9</v>
      </c>
      <c r="D57" s="80" t="n">
        <f aca="false">IFERROR(C57/E50,0)</f>
        <v>0.31100029623778</v>
      </c>
      <c r="E57" s="81" t="n">
        <f aca="false">SUM(F22:F26)</f>
        <v>42.4</v>
      </c>
      <c r="F57" s="81" t="n">
        <f aca="false">SUM(G22:G26)</f>
        <v>65.82</v>
      </c>
      <c r="G57" s="81" t="n">
        <f aca="false">SUM(H22:H26)</f>
        <v>22.15</v>
      </c>
      <c r="H57" s="82" t="s">
        <v>144</v>
      </c>
      <c r="I57" s="83"/>
    </row>
    <row r="58" customFormat="false" ht="19.5" hidden="false" customHeight="true" outlineLevel="0" collapsed="false">
      <c r="B58" s="84" t="s">
        <v>119</v>
      </c>
      <c r="C58" s="73" t="n">
        <f aca="false">SUM(E30:E33)</f>
        <v>309</v>
      </c>
      <c r="D58" s="74" t="n">
        <f aca="false">IFERROR(C58/E50,0)</f>
        <v>0.152562456798657</v>
      </c>
      <c r="E58" s="75" t="n">
        <f aca="false">SUM(F30:F33)</f>
        <v>22.2</v>
      </c>
      <c r="F58" s="75" t="n">
        <f aca="false">SUM(G30:G33)</f>
        <v>46.26</v>
      </c>
      <c r="G58" s="75" t="n">
        <f aca="false">SUM(H30:H33)</f>
        <v>3.86</v>
      </c>
      <c r="H58" s="76" t="s">
        <v>145</v>
      </c>
      <c r="I58" s="77"/>
    </row>
    <row r="59" customFormat="false" ht="19.5" hidden="false" customHeight="true" outlineLevel="0" collapsed="false">
      <c r="B59" s="85" t="s">
        <v>123</v>
      </c>
      <c r="C59" s="86" t="n">
        <f aca="false">SUM(E37:E40)</f>
        <v>543.3</v>
      </c>
      <c r="D59" s="87" t="n">
        <f aca="false">IFERROR(C59/E50,0)</f>
        <v>0.268243309963464</v>
      </c>
      <c r="E59" s="88" t="n">
        <f aca="false">SUM(F37:F40)</f>
        <v>54.05</v>
      </c>
      <c r="F59" s="88" t="n">
        <f aca="false">SUM(G37:G40)</f>
        <v>66.76</v>
      </c>
      <c r="G59" s="88" t="n">
        <f aca="false">SUM(H37:H40)</f>
        <v>6.21</v>
      </c>
      <c r="H59" s="89" t="s">
        <v>146</v>
      </c>
      <c r="I59" s="90"/>
    </row>
  </sheetData>
  <mergeCells count="17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4:C34"/>
    <mergeCell ref="B36:I36"/>
    <mergeCell ref="B41:C41"/>
    <mergeCell ref="B43:I43"/>
    <mergeCell ref="B50:C50"/>
    <mergeCell ref="B51:C51"/>
    <mergeCell ref="D51:I51"/>
    <mergeCell ref="B53:I5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3 C37:C40 C44:C48" type="list">
      <formula1>_Listas!$A$2:$A$80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1" t="s">
        <v>164</v>
      </c>
      <c r="C2" s="91"/>
      <c r="D2" s="91"/>
      <c r="E2" s="91"/>
      <c r="F2" s="91"/>
      <c r="G2" s="91"/>
      <c r="H2" s="91"/>
      <c r="I2" s="91"/>
    </row>
    <row r="3" customFormat="false" ht="15.75" hidden="false" customHeight="true" outlineLevel="0" collapsed="false">
      <c r="B3" s="2" t="s">
        <v>86</v>
      </c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B4" s="3" t="s">
        <v>87</v>
      </c>
      <c r="C4" s="4" t="n">
        <v>2000</v>
      </c>
      <c r="D4" s="3" t="s">
        <v>88</v>
      </c>
      <c r="E4" s="4" t="n">
        <v>70</v>
      </c>
      <c r="F4" s="3" t="s">
        <v>89</v>
      </c>
      <c r="G4" s="4" t="s">
        <v>90</v>
      </c>
    </row>
    <row r="5" customFormat="false" ht="6" hidden="false" customHeight="true" outlineLevel="0" collapsed="false"/>
    <row r="6" customFormat="false" ht="39.75" hidden="false" customHeight="true" outlineLevel="0" collapsed="false">
      <c r="B6" s="5" t="s">
        <v>91</v>
      </c>
      <c r="C6" s="5" t="s">
        <v>92</v>
      </c>
      <c r="D6" s="6" t="s">
        <v>93</v>
      </c>
      <c r="E6" s="7" t="s">
        <v>94</v>
      </c>
      <c r="F6" s="6" t="s">
        <v>95</v>
      </c>
      <c r="G6" s="8" t="s">
        <v>96</v>
      </c>
      <c r="H6" s="9" t="s">
        <v>97</v>
      </c>
      <c r="I6" s="5" t="s">
        <v>98</v>
      </c>
    </row>
    <row r="7" customFormat="false" ht="4.5" hidden="false" customHeight="true" outlineLevel="0" collapsed="false"/>
    <row r="8" customFormat="false" ht="24" hidden="false" customHeight="true" outlineLevel="0" collapsed="false">
      <c r="B8" s="10" t="s">
        <v>99</v>
      </c>
      <c r="C8" s="10"/>
      <c r="D8" s="10"/>
      <c r="E8" s="10"/>
      <c r="F8" s="10"/>
      <c r="G8" s="10"/>
      <c r="H8" s="10"/>
      <c r="I8" s="10"/>
    </row>
    <row r="9" customFormat="false" ht="19.5" hidden="false" customHeight="true" outlineLevel="0" collapsed="false">
      <c r="B9" s="11" t="s">
        <v>100</v>
      </c>
      <c r="C9" s="12" t="s">
        <v>23</v>
      </c>
      <c r="D9" s="13" t="n">
        <v>200</v>
      </c>
      <c r="E9" s="14" t="n">
        <f aca="false">IFERROR(VLOOKUP(C9,_Listas!$C$2:$H$80,2,0)*D9/100,0)</f>
        <v>4</v>
      </c>
      <c r="F9" s="14" t="n">
        <f aca="false">IFERROR(VLOOKUP(C9,_Listas!$C$2:$H$80,3,0)*D9/100,0)</f>
        <v>0.6</v>
      </c>
      <c r="G9" s="14" t="n">
        <f aca="false">IFERROR(VLOOKUP(C9,_Listas!$C$2:$H$80,4,0)*D9/100,0)</f>
        <v>0</v>
      </c>
      <c r="H9" s="14" t="n">
        <f aca="false">IFERROR(VLOOKUP(C9,_Listas!$C$2:$H$80,5,0)*D9/100,0)</f>
        <v>0</v>
      </c>
      <c r="I9" s="15" t="s">
        <v>101</v>
      </c>
    </row>
    <row r="10" customFormat="false" ht="19.5" hidden="false" customHeight="true" outlineLevel="0" collapsed="false">
      <c r="B10" s="16"/>
      <c r="C10" s="12" t="s">
        <v>69</v>
      </c>
      <c r="D10" s="13" t="n">
        <v>60</v>
      </c>
      <c r="E10" s="17" t="n">
        <f aca="false">IFERROR(VLOOKUP(C10,_Listas!$C$2:$H$80,2,0)*D10/100,0)</f>
        <v>180</v>
      </c>
      <c r="F10" s="17" t="n">
        <f aca="false">IFERROR(VLOOKUP(C10,_Listas!$C$2:$H$80,3,0)*D10/100,0)</f>
        <v>4.8</v>
      </c>
      <c r="G10" s="17" t="n">
        <f aca="false">IFERROR(VLOOKUP(C10,_Listas!$C$2:$H$80,4,0)*D10/100,0)</f>
        <v>35.16</v>
      </c>
      <c r="H10" s="17" t="n">
        <f aca="false">IFERROR(VLOOKUP(C10,_Listas!$C$2:$H$80,5,0)*D10/100,0)</f>
        <v>1.86</v>
      </c>
      <c r="I10" s="18" t="s">
        <v>102</v>
      </c>
    </row>
    <row r="11" customFormat="false" ht="19.5" hidden="false" customHeight="true" outlineLevel="0" collapsed="false">
      <c r="B11" s="16"/>
      <c r="C11" s="12" t="s">
        <v>73</v>
      </c>
      <c r="D11" s="13" t="n">
        <v>15</v>
      </c>
      <c r="E11" s="14" t="n">
        <f aca="false">IFERROR(VLOOKUP(C11,_Listas!$C$2:$H$80,2,0)*D11/100,0)</f>
        <v>36</v>
      </c>
      <c r="F11" s="14" t="n">
        <f aca="false">IFERROR(VLOOKUP(C11,_Listas!$C$2:$H$80,3,0)*D11/100,0)</f>
        <v>1.05</v>
      </c>
      <c r="G11" s="14" t="n">
        <f aca="false">IFERROR(VLOOKUP(C11,_Listas!$C$2:$H$80,4,0)*D11/100,0)</f>
        <v>0.525</v>
      </c>
      <c r="H11" s="14" t="n">
        <f aca="false">IFERROR(VLOOKUP(C11,_Listas!$C$2:$H$80,5,0)*D11/100,0)</f>
        <v>3.3</v>
      </c>
      <c r="I11" s="15" t="s">
        <v>103</v>
      </c>
    </row>
    <row r="12" customFormat="false" ht="19.5" hidden="false" customHeight="true" outlineLevel="0" collapsed="false">
      <c r="B12" s="16"/>
      <c r="C12" s="12" t="s">
        <v>72</v>
      </c>
      <c r="D12" s="13" t="n">
        <v>20</v>
      </c>
      <c r="E12" s="17" t="n">
        <f aca="false">IFERROR(VLOOKUP(C12,_Listas!$C$2:$H$80,2,0)*D12/100,0)</f>
        <v>57.8</v>
      </c>
      <c r="F12" s="17" t="n">
        <f aca="false">IFERROR(VLOOKUP(C12,_Listas!$C$2:$H$80,3,0)*D12/100,0)</f>
        <v>3.6</v>
      </c>
      <c r="G12" s="17" t="n">
        <f aca="false">IFERROR(VLOOKUP(C12,_Listas!$C$2:$H$80,4,0)*D12/100,0)</f>
        <v>0.52</v>
      </c>
      <c r="H12" s="17" t="n">
        <f aca="false">IFERROR(VLOOKUP(C12,_Listas!$C$2:$H$80,5,0)*D12/100,0)</f>
        <v>4.58</v>
      </c>
      <c r="I12" s="18" t="s">
        <v>104</v>
      </c>
    </row>
    <row r="13" customFormat="false" ht="19.5" hidden="false" customHeight="true" outlineLevel="0" collapsed="false">
      <c r="B13" s="16"/>
      <c r="C13" s="12" t="s">
        <v>60</v>
      </c>
      <c r="D13" s="13" t="n">
        <v>15</v>
      </c>
      <c r="E13" s="14" t="n">
        <f aca="false">IFERROR(VLOOKUP(C13,_Listas!$C$2:$H$80,2,0)*D13/100,0)</f>
        <v>16.35</v>
      </c>
      <c r="F13" s="14" t="n">
        <f aca="false">IFERROR(VLOOKUP(C13,_Listas!$C$2:$H$80,3,0)*D13/100,0)</f>
        <v>2.61</v>
      </c>
      <c r="G13" s="14" t="n">
        <f aca="false">IFERROR(VLOOKUP(C13,_Listas!$C$2:$H$80,4,0)*D13/100,0)</f>
        <v>0.285</v>
      </c>
      <c r="H13" s="14" t="n">
        <f aca="false">IFERROR(VLOOKUP(C13,_Listas!$C$2:$H$80,5,0)*D13/100,0)</f>
        <v>0.54</v>
      </c>
      <c r="I13" s="15" t="s">
        <v>104</v>
      </c>
    </row>
    <row r="14" customFormat="false" ht="19.5" hidden="false" customHeight="true" outlineLevel="0" collapsed="false">
      <c r="B14" s="16"/>
      <c r="C14" s="12" t="s">
        <v>48</v>
      </c>
      <c r="D14" s="13" t="n">
        <v>120</v>
      </c>
      <c r="E14" s="17" t="n">
        <f aca="false">IFERROR(VLOOKUP(C14,_Listas!$C$2:$H$80,2,0)*D14/100,0)</f>
        <v>67.2</v>
      </c>
      <c r="F14" s="17" t="n">
        <f aca="false">IFERROR(VLOOKUP(C14,_Listas!$C$2:$H$80,3,0)*D14/100,0)</f>
        <v>0.36</v>
      </c>
      <c r="G14" s="17" t="n">
        <f aca="false">IFERROR(VLOOKUP(C14,_Listas!$C$2:$H$80,4,0)*D14/100,0)</f>
        <v>17.88</v>
      </c>
      <c r="H14" s="17" t="n">
        <f aca="false">IFERROR(VLOOKUP(C14,_Listas!$C$2:$H$80,5,0)*D14/100,0)</f>
        <v>0.12</v>
      </c>
      <c r="I14" s="18" t="s">
        <v>113</v>
      </c>
    </row>
    <row r="15" customFormat="false" ht="19.5" hidden="false" customHeight="true" outlineLevel="0" collapsed="false">
      <c r="B15" s="16"/>
      <c r="C15" s="12" t="s">
        <v>32</v>
      </c>
      <c r="D15" s="13" t="n">
        <v>6</v>
      </c>
      <c r="E15" s="14" t="n">
        <f aca="false">IFERROR(VLOOKUP(C15,_Listas!$C$2:$H$80,2,0)*D15/100,0)</f>
        <v>0</v>
      </c>
      <c r="F15" s="14" t="n">
        <f aca="false">IFERROR(VLOOKUP(C15,_Listas!$C$2:$H$80,3,0)*D15/100,0)</f>
        <v>0</v>
      </c>
      <c r="G15" s="14" t="n">
        <f aca="false">IFERROR(VLOOKUP(C15,_Listas!$C$2:$H$80,4,0)*D15/100,0)</f>
        <v>0</v>
      </c>
      <c r="H15" s="14" t="n">
        <f aca="false">IFERROR(VLOOKUP(C15,_Listas!$C$2:$H$80,5,0)*D15/100,0)</f>
        <v>0</v>
      </c>
      <c r="I15" s="15" t="s">
        <v>106</v>
      </c>
    </row>
    <row r="16" customFormat="false" ht="18" hidden="false" customHeight="true" outlineLevel="0" collapsed="false">
      <c r="B16" s="19" t="s">
        <v>107</v>
      </c>
      <c r="C16" s="19"/>
      <c r="D16" s="20" t="n">
        <f aca="false">SUM(D9:D15)</f>
        <v>436</v>
      </c>
      <c r="E16" s="20" t="n">
        <f aca="false">SUM(E9:E15)</f>
        <v>361.35</v>
      </c>
      <c r="F16" s="20" t="n">
        <f aca="false">SUM(F9:F15)</f>
        <v>13.02</v>
      </c>
      <c r="G16" s="20" t="n">
        <f aca="false">SUM(G9:G15)</f>
        <v>54.37</v>
      </c>
      <c r="H16" s="20" t="n">
        <f aca="false">SUM(H9:H15)</f>
        <v>10.4</v>
      </c>
      <c r="I16" s="21"/>
    </row>
    <row r="17" customFormat="false" ht="3.75" hidden="false" customHeight="true" outlineLevel="0" collapsed="false"/>
    <row r="18" customFormat="false" ht="24" hidden="false" customHeight="true" outlineLevel="0" collapsed="false">
      <c r="B18" s="22" t="s">
        <v>108</v>
      </c>
      <c r="C18" s="22"/>
      <c r="D18" s="22"/>
      <c r="E18" s="22"/>
      <c r="F18" s="22"/>
      <c r="G18" s="22"/>
      <c r="H18" s="22"/>
      <c r="I18" s="22"/>
    </row>
    <row r="19" customFormat="false" ht="19.5" hidden="false" customHeight="true" outlineLevel="0" collapsed="false">
      <c r="B19" s="23" t="s">
        <v>109</v>
      </c>
      <c r="C19" s="12" t="s">
        <v>84</v>
      </c>
      <c r="D19" s="13" t="n">
        <v>300</v>
      </c>
      <c r="E19" s="24" t="n">
        <f aca="false">IFERROR(VLOOKUP(C19,_Listas!$C$2:$H$80,2,0)*D19/100,0)</f>
        <v>201</v>
      </c>
      <c r="F19" s="24" t="n">
        <f aca="false">IFERROR(VLOOKUP(C19,_Listas!$C$2:$H$80,3,0)*D19/100,0)</f>
        <v>20.1</v>
      </c>
      <c r="G19" s="24" t="n">
        <f aca="false">IFERROR(VLOOKUP(C19,_Listas!$C$2:$H$80,4,0)*D19/100,0)</f>
        <v>30</v>
      </c>
      <c r="H19" s="24" t="n">
        <f aca="false">IFERROR(VLOOKUP(C19,_Listas!$C$2:$H$80,5,0)*D19/100,0)</f>
        <v>0</v>
      </c>
      <c r="I19" s="25" t="s">
        <v>102</v>
      </c>
    </row>
    <row r="20" customFormat="false" ht="18" hidden="false" customHeight="true" outlineLevel="0" collapsed="false">
      <c r="B20" s="26" t="s">
        <v>110</v>
      </c>
      <c r="C20" s="26"/>
      <c r="D20" s="27" t="n">
        <f aca="false">SUM(D19:D19)</f>
        <v>300</v>
      </c>
      <c r="E20" s="27" t="n">
        <f aca="false">SUM(E19:E19)</f>
        <v>201</v>
      </c>
      <c r="F20" s="27" t="n">
        <f aca="false">SUM(F19:F19)</f>
        <v>20.1</v>
      </c>
      <c r="G20" s="27" t="n">
        <f aca="false">SUM(G19:G19)</f>
        <v>30</v>
      </c>
      <c r="H20" s="27" t="n">
        <f aca="false">SUM(H19:H19)</f>
        <v>0</v>
      </c>
      <c r="I20" s="28"/>
    </row>
    <row r="21" customFormat="false" ht="3.75" hidden="false" customHeight="true" outlineLevel="0" collapsed="false"/>
    <row r="22" customFormat="false" ht="24" hidden="false" customHeight="true" outlineLevel="0" collapsed="false">
      <c r="B22" s="29" t="s">
        <v>111</v>
      </c>
      <c r="C22" s="29"/>
      <c r="D22" s="29"/>
      <c r="E22" s="29"/>
      <c r="F22" s="29"/>
      <c r="G22" s="29"/>
      <c r="H22" s="29"/>
      <c r="I22" s="29"/>
    </row>
    <row r="23" customFormat="false" ht="19.5" hidden="false" customHeight="true" outlineLevel="0" collapsed="false">
      <c r="B23" s="30" t="s">
        <v>112</v>
      </c>
      <c r="C23" s="12" t="s">
        <v>13</v>
      </c>
      <c r="D23" s="13" t="n">
        <v>140</v>
      </c>
      <c r="E23" s="31" t="n">
        <f aca="false">IFERROR(VLOOKUP(C23,_Listas!$C$2:$H$80,2,0)*D23/100,0)</f>
        <v>179.2</v>
      </c>
      <c r="F23" s="31" t="n">
        <f aca="false">IFERROR(VLOOKUP(C23,_Listas!$C$2:$H$80,3,0)*D23/100,0)</f>
        <v>3.5</v>
      </c>
      <c r="G23" s="31" t="n">
        <f aca="false">IFERROR(VLOOKUP(C23,_Listas!$C$2:$H$80,4,0)*D23/100,0)</f>
        <v>39.34</v>
      </c>
      <c r="H23" s="31" t="n">
        <f aca="false">IFERROR(VLOOKUP(C23,_Listas!$C$2:$H$80,5,0)*D23/100,0)</f>
        <v>0.28</v>
      </c>
      <c r="I23" s="32" t="s">
        <v>124</v>
      </c>
    </row>
    <row r="24" customFormat="false" ht="19.5" hidden="false" customHeight="true" outlineLevel="0" collapsed="false">
      <c r="B24" s="33"/>
      <c r="C24" s="12" t="s">
        <v>57</v>
      </c>
      <c r="D24" s="13" t="n">
        <v>20</v>
      </c>
      <c r="E24" s="17" t="n">
        <f aca="false">IFERROR(VLOOKUP(C24,_Listas!$C$2:$H$80,2,0)*D24/100,0)</f>
        <v>34</v>
      </c>
      <c r="F24" s="17" t="n">
        <f aca="false">IFERROR(VLOOKUP(C24,_Listas!$C$2:$H$80,3,0)*D24/100,0)</f>
        <v>1.6</v>
      </c>
      <c r="G24" s="17" t="n">
        <f aca="false">IFERROR(VLOOKUP(C24,_Listas!$C$2:$H$80,4,0)*D24/100,0)</f>
        <v>1</v>
      </c>
      <c r="H24" s="17" t="n">
        <f aca="false">IFERROR(VLOOKUP(C24,_Listas!$C$2:$H$80,5,0)*D24/100,0)</f>
        <v>2.6</v>
      </c>
      <c r="I24" s="18" t="s">
        <v>103</v>
      </c>
    </row>
    <row r="25" customFormat="false" ht="19.5" hidden="false" customHeight="true" outlineLevel="0" collapsed="false">
      <c r="B25" s="33"/>
      <c r="C25" s="12" t="s">
        <v>73</v>
      </c>
      <c r="D25" s="13" t="n">
        <v>40</v>
      </c>
      <c r="E25" s="31" t="n">
        <f aca="false">IFERROR(VLOOKUP(C25,_Listas!$C$2:$H$80,2,0)*D25/100,0)</f>
        <v>96</v>
      </c>
      <c r="F25" s="31" t="n">
        <f aca="false">IFERROR(VLOOKUP(C25,_Listas!$C$2:$H$80,3,0)*D25/100,0)</f>
        <v>2.8</v>
      </c>
      <c r="G25" s="31" t="n">
        <f aca="false">IFERROR(VLOOKUP(C25,_Listas!$C$2:$H$80,4,0)*D25/100,0)</f>
        <v>1.4</v>
      </c>
      <c r="H25" s="31" t="n">
        <f aca="false">IFERROR(VLOOKUP(C25,_Listas!$C$2:$H$80,5,0)*D25/100,0)</f>
        <v>8.8</v>
      </c>
      <c r="I25" s="32" t="s">
        <v>148</v>
      </c>
    </row>
    <row r="26" customFormat="false" ht="19.5" hidden="false" customHeight="true" outlineLevel="0" collapsed="false">
      <c r="B26" s="33"/>
      <c r="C26" s="12" t="s">
        <v>35</v>
      </c>
      <c r="D26" s="13" t="n">
        <v>170</v>
      </c>
      <c r="E26" s="17" t="n">
        <f aca="false">IFERROR(VLOOKUP(C26,_Listas!$C$2:$H$80,2,0)*D26/100,0)</f>
        <v>277.1</v>
      </c>
      <c r="F26" s="17" t="n">
        <f aca="false">IFERROR(VLOOKUP(C26,_Listas!$C$2:$H$80,3,0)*D26/100,0)</f>
        <v>53.55</v>
      </c>
      <c r="G26" s="17" t="n">
        <f aca="false">IFERROR(VLOOKUP(C26,_Listas!$C$2:$H$80,4,0)*D26/100,0)</f>
        <v>0</v>
      </c>
      <c r="H26" s="17" t="n">
        <f aca="false">IFERROR(VLOOKUP(C26,_Listas!$C$2:$H$80,5,0)*D26/100,0)</f>
        <v>6.29</v>
      </c>
      <c r="I26" s="18" t="s">
        <v>149</v>
      </c>
    </row>
    <row r="27" customFormat="false" ht="19.5" hidden="false" customHeight="true" outlineLevel="0" collapsed="false">
      <c r="B27" s="33"/>
      <c r="C27" s="12" t="s">
        <v>39</v>
      </c>
      <c r="D27" s="13" t="n">
        <v>150</v>
      </c>
      <c r="E27" s="31" t="n">
        <f aca="false">IFERROR(VLOOKUP(C27,_Listas!$C$2:$H$80,2,0)*D27/100,0)</f>
        <v>69</v>
      </c>
      <c r="F27" s="31" t="n">
        <f aca="false">IFERROR(VLOOKUP(C27,_Listas!$C$2:$H$80,3,0)*D27/100,0)</f>
        <v>1.35</v>
      </c>
      <c r="G27" s="31" t="n">
        <f aca="false">IFERROR(VLOOKUP(C27,_Listas!$C$2:$H$80,4,0)*D27/100,0)</f>
        <v>17.25</v>
      </c>
      <c r="H27" s="31" t="n">
        <f aca="false">IFERROR(VLOOKUP(C27,_Listas!$C$2:$H$80,5,0)*D27/100,0)</f>
        <v>0.15</v>
      </c>
      <c r="I27" s="32" t="s">
        <v>150</v>
      </c>
    </row>
    <row r="28" customFormat="false" ht="18" hidden="false" customHeight="true" outlineLevel="0" collapsed="false">
      <c r="B28" s="34" t="s">
        <v>117</v>
      </c>
      <c r="C28" s="34"/>
      <c r="D28" s="35" t="n">
        <f aca="false">SUM(D23:D27)</f>
        <v>520</v>
      </c>
      <c r="E28" s="35" t="n">
        <f aca="false">SUM(E23:E27)</f>
        <v>655.3</v>
      </c>
      <c r="F28" s="35" t="n">
        <f aca="false">SUM(F23:F27)</f>
        <v>62.8</v>
      </c>
      <c r="G28" s="35" t="n">
        <f aca="false">SUM(G23:G27)</f>
        <v>58.99</v>
      </c>
      <c r="H28" s="35" t="n">
        <f aca="false">SUM(H23:H27)</f>
        <v>18.12</v>
      </c>
      <c r="I28" s="36"/>
    </row>
    <row r="29" customFormat="false" ht="3.75" hidden="false" customHeight="true" outlineLevel="0" collapsed="false"/>
    <row r="30" customFormat="false" ht="19.5" hidden="false" customHeight="true" outlineLevel="0" collapsed="false">
      <c r="B30" s="53" t="s">
        <v>151</v>
      </c>
      <c r="C30" s="53"/>
      <c r="D30" s="53"/>
      <c r="E30" s="53"/>
      <c r="F30" s="53"/>
      <c r="G30" s="53"/>
      <c r="H30" s="53"/>
      <c r="I30" s="53"/>
    </row>
    <row r="31" customFormat="false" ht="19.5" hidden="false" customHeight="true" outlineLevel="0" collapsed="false">
      <c r="B31" s="54" t="s">
        <v>152</v>
      </c>
      <c r="C31" s="12" t="s">
        <v>67</v>
      </c>
      <c r="D31" s="13" t="n">
        <v>150</v>
      </c>
      <c r="E31" s="55" t="n">
        <f aca="false">IFERROR(VLOOKUP(C31,_Listas!$C$2:$H$80,2,0)*D31/100,0)</f>
        <v>153</v>
      </c>
      <c r="F31" s="55" t="n">
        <f aca="false">IFERROR(VLOOKUP(C31,_Listas!$C$2:$H$80,3,0)*D31/100,0)</f>
        <v>3.75</v>
      </c>
      <c r="G31" s="55" t="n">
        <f aca="false">IFERROR(VLOOKUP(C31,_Listas!$C$2:$H$80,4,0)*D31/100,0)</f>
        <v>25.5</v>
      </c>
      <c r="H31" s="55" t="n">
        <f aca="false">IFERROR(VLOOKUP(C31,_Listas!$C$2:$H$80,5,0)*D31/100,0)</f>
        <v>4.5</v>
      </c>
      <c r="I31" s="56" t="s">
        <v>115</v>
      </c>
    </row>
    <row r="32" customFormat="false" ht="19.5" hidden="false" customHeight="true" outlineLevel="0" collapsed="false">
      <c r="B32" s="57"/>
      <c r="C32" s="12" t="s">
        <v>53</v>
      </c>
      <c r="D32" s="13" t="n">
        <v>100</v>
      </c>
      <c r="E32" s="17" t="n">
        <f aca="false">IFERROR(VLOOKUP(C32,_Listas!$C$2:$H$80,2,0)*D32/100,0)</f>
        <v>26</v>
      </c>
      <c r="F32" s="17" t="n">
        <f aca="false">IFERROR(VLOOKUP(C32,_Listas!$C$2:$H$80,3,0)*D32/100,0)</f>
        <v>0.7</v>
      </c>
      <c r="G32" s="17" t="n">
        <f aca="false">IFERROR(VLOOKUP(C32,_Listas!$C$2:$H$80,4,0)*D32/100,0)</f>
        <v>6</v>
      </c>
      <c r="H32" s="17" t="n">
        <f aca="false">IFERROR(VLOOKUP(C32,_Listas!$C$2:$H$80,5,0)*D32/100,0)</f>
        <v>0.1</v>
      </c>
      <c r="I32" s="18" t="s">
        <v>115</v>
      </c>
    </row>
    <row r="33" customFormat="false" ht="19.5" hidden="false" customHeight="true" outlineLevel="0" collapsed="false">
      <c r="B33" s="57"/>
      <c r="C33" s="12" t="s">
        <v>62</v>
      </c>
      <c r="D33" s="13" t="n">
        <v>200</v>
      </c>
      <c r="E33" s="55" t="n">
        <f aca="false">IFERROR(VLOOKUP(C33,_Listas!$C$2:$H$80,2,0)*D33/100,0)</f>
        <v>256</v>
      </c>
      <c r="F33" s="55" t="n">
        <f aca="false">IFERROR(VLOOKUP(C33,_Listas!$C$2:$H$80,3,0)*D33/100,0)</f>
        <v>50</v>
      </c>
      <c r="G33" s="55" t="n">
        <f aca="false">IFERROR(VLOOKUP(C33,_Listas!$C$2:$H$80,4,0)*D33/100,0)</f>
        <v>0</v>
      </c>
      <c r="H33" s="55" t="n">
        <f aca="false">IFERROR(VLOOKUP(C33,_Listas!$C$2:$H$80,5,0)*D33/100,0)</f>
        <v>5.6</v>
      </c>
      <c r="I33" s="56" t="s">
        <v>153</v>
      </c>
    </row>
    <row r="34" customFormat="false" ht="19.5" hidden="false" customHeight="true" outlineLevel="0" collapsed="false">
      <c r="B34" s="57"/>
      <c r="C34" s="12" t="s">
        <v>40</v>
      </c>
      <c r="D34" s="13" t="n">
        <v>120</v>
      </c>
      <c r="E34" s="17" t="n">
        <f aca="false">IFERROR(VLOOKUP(C34,_Listas!$C$2:$H$80,2,0)*D34/100,0)</f>
        <v>42</v>
      </c>
      <c r="F34" s="17" t="n">
        <f aca="false">IFERROR(VLOOKUP(C34,_Listas!$C$2:$H$80,3,0)*D34/100,0)</f>
        <v>2.4</v>
      </c>
      <c r="G34" s="17" t="n">
        <f aca="false">IFERROR(VLOOKUP(C34,_Listas!$C$2:$H$80,4,0)*D34/100,0)</f>
        <v>7.8</v>
      </c>
      <c r="H34" s="17" t="n">
        <f aca="false">IFERROR(VLOOKUP(C34,_Listas!$C$2:$H$80,5,0)*D34/100,0)</f>
        <v>0.36</v>
      </c>
      <c r="I34" s="18" t="s">
        <v>154</v>
      </c>
    </row>
    <row r="35" customFormat="false" ht="19.5" hidden="false" customHeight="true" outlineLevel="0" collapsed="false">
      <c r="B35" s="57"/>
      <c r="C35" s="12" t="s">
        <v>22</v>
      </c>
      <c r="D35" s="13" t="n">
        <v>16</v>
      </c>
      <c r="E35" s="55" t="n">
        <f aca="false">IFERROR(VLOOKUP(C35,_Listas!$C$2:$H$80,2,0)*D35/100,0)</f>
        <v>83.2</v>
      </c>
      <c r="F35" s="55" t="n">
        <f aca="false">IFERROR(VLOOKUP(C35,_Listas!$C$2:$H$80,3,0)*D35/100,0)</f>
        <v>0.8</v>
      </c>
      <c r="G35" s="55" t="n">
        <f aca="false">IFERROR(VLOOKUP(C35,_Listas!$C$2:$H$80,4,0)*D35/100,0)</f>
        <v>9.6</v>
      </c>
      <c r="H35" s="55" t="n">
        <f aca="false">IFERROR(VLOOKUP(C35,_Listas!$C$2:$H$80,5,0)*D35/100,0)</f>
        <v>4.48</v>
      </c>
      <c r="I35" s="56" t="s">
        <v>102</v>
      </c>
    </row>
    <row r="36" customFormat="false" ht="3.75" hidden="false" customHeight="true" outlineLevel="0" collapsed="false"/>
    <row r="37" customFormat="false" ht="24" hidden="false" customHeight="true" outlineLevel="0" collapsed="false">
      <c r="B37" s="37" t="s">
        <v>118</v>
      </c>
      <c r="C37" s="37"/>
      <c r="D37" s="37"/>
      <c r="E37" s="37"/>
      <c r="F37" s="37"/>
      <c r="G37" s="37"/>
      <c r="H37" s="37"/>
      <c r="I37" s="37"/>
    </row>
    <row r="38" customFormat="false" ht="19.5" hidden="false" customHeight="true" outlineLevel="0" collapsed="false">
      <c r="B38" s="38" t="s">
        <v>119</v>
      </c>
      <c r="C38" s="12" t="s">
        <v>41</v>
      </c>
      <c r="D38" s="13" t="n">
        <v>200</v>
      </c>
      <c r="E38" s="39" t="n">
        <f aca="false">IFERROR(VLOOKUP(C38,_Listas!$C$2:$H$80,2,0)*D38/100,0)</f>
        <v>122</v>
      </c>
      <c r="F38" s="39" t="n">
        <f aca="false">IFERROR(VLOOKUP(C38,_Listas!$C$2:$H$80,3,0)*D38/100,0)</f>
        <v>6.4</v>
      </c>
      <c r="G38" s="39" t="n">
        <f aca="false">IFERROR(VLOOKUP(C38,_Listas!$C$2:$H$80,4,0)*D38/100,0)</f>
        <v>9.4</v>
      </c>
      <c r="H38" s="39" t="n">
        <f aca="false">IFERROR(VLOOKUP(C38,_Listas!$C$2:$H$80,5,0)*D38/100,0)</f>
        <v>6.4</v>
      </c>
      <c r="I38" s="40" t="s">
        <v>129</v>
      </c>
    </row>
    <row r="39" customFormat="false" ht="19.5" hidden="false" customHeight="true" outlineLevel="0" collapsed="false">
      <c r="B39" s="41"/>
      <c r="C39" s="12" t="s">
        <v>16</v>
      </c>
      <c r="D39" s="13" t="n">
        <v>60</v>
      </c>
      <c r="E39" s="17" t="n">
        <f aca="false">IFERROR(VLOOKUP(C39,_Listas!$C$2:$H$80,2,0)*D39/100,0)</f>
        <v>55.2</v>
      </c>
      <c r="F39" s="17" t="n">
        <f aca="false">IFERROR(VLOOKUP(C39,_Listas!$C$2:$H$80,3,0)*D39/100,0)</f>
        <v>0.78</v>
      </c>
      <c r="G39" s="17" t="n">
        <f aca="false">IFERROR(VLOOKUP(C39,_Listas!$C$2:$H$80,4,0)*D39/100,0)</f>
        <v>14.28</v>
      </c>
      <c r="H39" s="17" t="n">
        <f aca="false">IFERROR(VLOOKUP(C39,_Listas!$C$2:$H$80,5,0)*D39/100,0)</f>
        <v>0.06</v>
      </c>
      <c r="I39" s="18" t="s">
        <v>155</v>
      </c>
    </row>
    <row r="40" customFormat="false" ht="19.5" hidden="false" customHeight="true" outlineLevel="0" collapsed="false">
      <c r="B40" s="41"/>
      <c r="C40" s="12" t="s">
        <v>83</v>
      </c>
      <c r="D40" s="13" t="n">
        <v>60</v>
      </c>
      <c r="E40" s="39" t="n">
        <f aca="false">IFERROR(VLOOKUP(C40,_Listas!$C$2:$H$80,2,0)*D40/100,0)</f>
        <v>224.4</v>
      </c>
      <c r="F40" s="39" t="n">
        <f aca="false">IFERROR(VLOOKUP(C40,_Listas!$C$2:$H$80,3,0)*D40/100,0)</f>
        <v>48</v>
      </c>
      <c r="G40" s="39" t="n">
        <f aca="false">IFERROR(VLOOKUP(C40,_Listas!$C$2:$H$80,4,0)*D40/100,0)</f>
        <v>4.8</v>
      </c>
      <c r="H40" s="39" t="n">
        <f aca="false">IFERROR(VLOOKUP(C40,_Listas!$C$2:$H$80,5,0)*D40/100,0)</f>
        <v>2.4</v>
      </c>
      <c r="I40" s="40" t="s">
        <v>156</v>
      </c>
    </row>
    <row r="41" customFormat="false" ht="18" hidden="false" customHeight="true" outlineLevel="0" collapsed="false">
      <c r="B41" s="42" t="s">
        <v>121</v>
      </c>
      <c r="C41" s="42"/>
      <c r="D41" s="43" t="n">
        <f aca="false">SUM(D38:D40)</f>
        <v>320</v>
      </c>
      <c r="E41" s="43" t="n">
        <f aca="false">SUM(E38:E40)</f>
        <v>401.6</v>
      </c>
      <c r="F41" s="43" t="n">
        <f aca="false">SUM(F38:F40)</f>
        <v>55.18</v>
      </c>
      <c r="G41" s="43" t="n">
        <f aca="false">SUM(G38:G40)</f>
        <v>28.48</v>
      </c>
      <c r="H41" s="43" t="n">
        <f aca="false">SUM(H38:H40)</f>
        <v>8.86</v>
      </c>
      <c r="I41" s="44"/>
    </row>
    <row r="42" customFormat="false" ht="3.75" hidden="false" customHeight="true" outlineLevel="0" collapsed="false"/>
    <row r="43" customFormat="false" ht="24" hidden="false" customHeight="true" outlineLevel="0" collapsed="false">
      <c r="B43" s="45" t="s">
        <v>122</v>
      </c>
      <c r="C43" s="45"/>
      <c r="D43" s="45"/>
      <c r="E43" s="45"/>
      <c r="F43" s="45"/>
      <c r="G43" s="45"/>
      <c r="H43" s="45"/>
      <c r="I43" s="45"/>
    </row>
    <row r="44" customFormat="false" ht="19.5" hidden="false" customHeight="true" outlineLevel="0" collapsed="false">
      <c r="B44" s="46" t="s">
        <v>123</v>
      </c>
      <c r="C44" s="12" t="s">
        <v>31</v>
      </c>
      <c r="D44" s="13" t="n">
        <v>350</v>
      </c>
      <c r="E44" s="47" t="n">
        <f aca="false">IFERROR(VLOOKUP(C44,_Listas!$C$2:$H$80,2,0)*D44/100,0)</f>
        <v>3.5</v>
      </c>
      <c r="F44" s="47" t="n">
        <f aca="false">IFERROR(VLOOKUP(C44,_Listas!$C$2:$H$80,3,0)*D44/100,0)</f>
        <v>0</v>
      </c>
      <c r="G44" s="47" t="n">
        <f aca="false">IFERROR(VLOOKUP(C44,_Listas!$C$2:$H$80,4,0)*D44/100,0)</f>
        <v>1.05</v>
      </c>
      <c r="H44" s="47" t="n">
        <f aca="false">IFERROR(VLOOKUP(C44,_Listas!$C$2:$H$80,5,0)*D44/100,0)</f>
        <v>0</v>
      </c>
      <c r="I44" s="48" t="s">
        <v>157</v>
      </c>
    </row>
    <row r="45" customFormat="false" ht="19.5" hidden="false" customHeight="true" outlineLevel="0" collapsed="false">
      <c r="B45" s="49"/>
      <c r="C45" s="12" t="s">
        <v>68</v>
      </c>
      <c r="D45" s="13" t="n">
        <v>70</v>
      </c>
      <c r="E45" s="17" t="n">
        <f aca="false">IFERROR(VLOOKUP(C45,_Listas!$C$2:$H$80,2,0)*D45/100,0)</f>
        <v>196</v>
      </c>
      <c r="F45" s="17" t="n">
        <f aca="false">IFERROR(VLOOKUP(C45,_Listas!$C$2:$H$80,3,0)*D45/100,0)</f>
        <v>5.6</v>
      </c>
      <c r="G45" s="17" t="n">
        <f aca="false">IFERROR(VLOOKUP(C45,_Listas!$C$2:$H$80,4,0)*D45/100,0)</f>
        <v>35</v>
      </c>
      <c r="H45" s="17" t="n">
        <f aca="false">IFERROR(VLOOKUP(C45,_Listas!$C$2:$H$80,5,0)*D45/100,0)</f>
        <v>3.5</v>
      </c>
      <c r="I45" s="18" t="s">
        <v>102</v>
      </c>
    </row>
    <row r="46" customFormat="false" ht="19.5" hidden="false" customHeight="true" outlineLevel="0" collapsed="false">
      <c r="B46" s="49"/>
      <c r="C46" s="12" t="s">
        <v>72</v>
      </c>
      <c r="D46" s="13" t="n">
        <v>25</v>
      </c>
      <c r="E46" s="47" t="n">
        <f aca="false">IFERROR(VLOOKUP(C46,_Listas!$C$2:$H$80,2,0)*D46/100,0)</f>
        <v>72.25</v>
      </c>
      <c r="F46" s="47" t="n">
        <f aca="false">IFERROR(VLOOKUP(C46,_Listas!$C$2:$H$80,3,0)*D46/100,0)</f>
        <v>4.5</v>
      </c>
      <c r="G46" s="47" t="n">
        <f aca="false">IFERROR(VLOOKUP(C46,_Listas!$C$2:$H$80,4,0)*D46/100,0)</f>
        <v>0.65</v>
      </c>
      <c r="H46" s="47" t="n">
        <f aca="false">IFERROR(VLOOKUP(C46,_Listas!$C$2:$H$80,5,0)*D46/100,0)</f>
        <v>5.725</v>
      </c>
      <c r="I46" s="48" t="s">
        <v>104</v>
      </c>
    </row>
    <row r="47" customFormat="false" ht="19.5" hidden="false" customHeight="true" outlineLevel="0" collapsed="false">
      <c r="B47" s="49"/>
      <c r="C47" s="12" t="s">
        <v>73</v>
      </c>
      <c r="D47" s="13" t="n">
        <v>20</v>
      </c>
      <c r="E47" s="17" t="n">
        <f aca="false">IFERROR(VLOOKUP(C47,_Listas!$C$2:$H$80,2,0)*D47/100,0)</f>
        <v>48</v>
      </c>
      <c r="F47" s="17" t="n">
        <f aca="false">IFERROR(VLOOKUP(C47,_Listas!$C$2:$H$80,3,0)*D47/100,0)</f>
        <v>1.4</v>
      </c>
      <c r="G47" s="17" t="n">
        <f aca="false">IFERROR(VLOOKUP(C47,_Listas!$C$2:$H$80,4,0)*D47/100,0)</f>
        <v>0.7</v>
      </c>
      <c r="H47" s="17" t="n">
        <f aca="false">IFERROR(VLOOKUP(C47,_Listas!$C$2:$H$80,5,0)*D47/100,0)</f>
        <v>4.4</v>
      </c>
      <c r="I47" s="18" t="s">
        <v>103</v>
      </c>
    </row>
    <row r="48" customFormat="false" ht="19.5" hidden="false" customHeight="true" outlineLevel="0" collapsed="false">
      <c r="B48" s="49"/>
      <c r="C48" s="12" t="s">
        <v>21</v>
      </c>
      <c r="D48" s="13" t="n">
        <v>150</v>
      </c>
      <c r="E48" s="47" t="n">
        <f aca="false">IFERROR(VLOOKUP(C48,_Listas!$C$2:$H$80,2,0)*D48/100,0)</f>
        <v>355.5</v>
      </c>
      <c r="F48" s="47" t="n">
        <f aca="false">IFERROR(VLOOKUP(C48,_Listas!$C$2:$H$80,3,0)*D48/100,0)</f>
        <v>49.2</v>
      </c>
      <c r="G48" s="47" t="n">
        <f aca="false">IFERROR(VLOOKUP(C48,_Listas!$C$2:$H$80,4,0)*D48/100,0)</f>
        <v>0</v>
      </c>
      <c r="H48" s="47" t="n">
        <f aca="false">IFERROR(VLOOKUP(C48,_Listas!$C$2:$H$80,5,0)*D48/100,0)</f>
        <v>17.1</v>
      </c>
      <c r="I48" s="48" t="s">
        <v>158</v>
      </c>
    </row>
    <row r="49" customFormat="false" ht="19.5" hidden="false" customHeight="true" outlineLevel="0" collapsed="false">
      <c r="B49" s="49"/>
      <c r="C49" s="12" t="s">
        <v>11</v>
      </c>
      <c r="D49" s="13" t="n">
        <v>10</v>
      </c>
      <c r="E49" s="17" t="n">
        <f aca="false">IFERROR(VLOOKUP(C49,_Listas!$C$2:$H$80,2,0)*D49/100,0)</f>
        <v>1.1</v>
      </c>
      <c r="F49" s="17" t="n">
        <f aca="false">IFERROR(VLOOKUP(C49,_Listas!$C$2:$H$80,3,0)*D49/100,0)</f>
        <v>0.13</v>
      </c>
      <c r="G49" s="17" t="n">
        <f aca="false">IFERROR(VLOOKUP(C49,_Listas!$C$2:$H$80,4,0)*D49/100,0)</f>
        <v>0.17</v>
      </c>
      <c r="H49" s="17" t="n">
        <f aca="false">IFERROR(VLOOKUP(C49,_Listas!$C$2:$H$80,5,0)*D49/100,0)</f>
        <v>0.02</v>
      </c>
      <c r="I49" s="18" t="s">
        <v>159</v>
      </c>
    </row>
    <row r="50" customFormat="false" ht="19.5" hidden="false" customHeight="true" outlineLevel="0" collapsed="false">
      <c r="B50" s="49"/>
      <c r="C50" s="12" t="s">
        <v>79</v>
      </c>
      <c r="D50" s="13" t="n">
        <v>10</v>
      </c>
      <c r="E50" s="47" t="n">
        <f aca="false">IFERROR(VLOOKUP(C50,_Listas!$C$2:$H$80,2,0)*D50/100,0)</f>
        <v>1.8</v>
      </c>
      <c r="F50" s="47" t="n">
        <f aca="false">IFERROR(VLOOKUP(C50,_Listas!$C$2:$H$80,3,0)*D50/100,0)</f>
        <v>0.09</v>
      </c>
      <c r="G50" s="47" t="n">
        <f aca="false">IFERROR(VLOOKUP(C50,_Listas!$C$2:$H$80,4,0)*D50/100,0)</f>
        <v>0.35</v>
      </c>
      <c r="H50" s="47" t="n">
        <f aca="false">IFERROR(VLOOKUP(C50,_Listas!$C$2:$H$80,5,0)*D50/100,0)</f>
        <v>0.02</v>
      </c>
      <c r="I50" s="48" t="s">
        <v>160</v>
      </c>
    </row>
    <row r="51" customFormat="false" ht="19.5" hidden="false" customHeight="true" outlineLevel="0" collapsed="false">
      <c r="B51" s="49"/>
      <c r="C51" s="12" t="s">
        <v>30</v>
      </c>
      <c r="D51" s="13" t="n">
        <v>20</v>
      </c>
      <c r="E51" s="17" t="n">
        <f aca="false">IFERROR(VLOOKUP(C51,_Listas!$C$2:$H$80,2,0)*D51/100,0)</f>
        <v>20</v>
      </c>
      <c r="F51" s="17" t="n">
        <f aca="false">IFERROR(VLOOKUP(C51,_Listas!$C$2:$H$80,3,0)*D51/100,0)</f>
        <v>0.3</v>
      </c>
      <c r="G51" s="17" t="n">
        <f aca="false">IFERROR(VLOOKUP(C51,_Listas!$C$2:$H$80,4,0)*D51/100,0)</f>
        <v>4.8</v>
      </c>
      <c r="H51" s="17" t="n">
        <f aca="false">IFERROR(VLOOKUP(C51,_Listas!$C$2:$H$80,5,0)*D51/100,0)</f>
        <v>0.08</v>
      </c>
      <c r="I51" s="18" t="s">
        <v>161</v>
      </c>
    </row>
    <row r="52" customFormat="false" ht="18" hidden="false" customHeight="true" outlineLevel="0" collapsed="false">
      <c r="B52" s="50" t="s">
        <v>126</v>
      </c>
      <c r="C52" s="50"/>
      <c r="D52" s="51" t="n">
        <f aca="false">SUM(D44:D51)</f>
        <v>655</v>
      </c>
      <c r="E52" s="51" t="n">
        <f aca="false">SUM(E44:E51)</f>
        <v>698.15</v>
      </c>
      <c r="F52" s="51" t="n">
        <f aca="false">SUM(F44:F51)</f>
        <v>61.22</v>
      </c>
      <c r="G52" s="51" t="n">
        <f aca="false">SUM(G44:G51)</f>
        <v>42.72</v>
      </c>
      <c r="H52" s="51" t="n">
        <f aca="false">SUM(H44:H51)</f>
        <v>30.845</v>
      </c>
      <c r="I52" s="52"/>
    </row>
    <row r="53" customFormat="false" ht="3.75" hidden="false" customHeight="true" outlineLevel="0" collapsed="false"/>
    <row r="54" customFormat="false" ht="19.5" hidden="false" customHeight="true" outlineLevel="0" collapsed="false">
      <c r="B54" s="53" t="s">
        <v>127</v>
      </c>
      <c r="C54" s="53"/>
      <c r="D54" s="53"/>
      <c r="E54" s="53"/>
      <c r="F54" s="53"/>
      <c r="G54" s="53"/>
      <c r="H54" s="53"/>
      <c r="I54" s="53"/>
    </row>
    <row r="55" customFormat="false" ht="19.5" hidden="false" customHeight="true" outlineLevel="0" collapsed="false">
      <c r="B55" s="54" t="s">
        <v>128</v>
      </c>
      <c r="C55" s="12" t="s">
        <v>44</v>
      </c>
      <c r="D55" s="13" t="n">
        <v>150</v>
      </c>
      <c r="E55" s="55" t="n">
        <f aca="false">IFERROR(VLOOKUP(C55,_Listas!$C$2:$H$80,2,0)*D55/100,0)</f>
        <v>237</v>
      </c>
      <c r="F55" s="55" t="n">
        <f aca="false">IFERROR(VLOOKUP(C55,_Listas!$C$2:$H$80,3,0)*D55/100,0)</f>
        <v>7.2</v>
      </c>
      <c r="G55" s="55" t="n">
        <f aca="false">IFERROR(VLOOKUP(C55,_Listas!$C$2:$H$80,4,0)*D55/100,0)</f>
        <v>47.55</v>
      </c>
      <c r="H55" s="55" t="n">
        <f aca="false">IFERROR(VLOOKUP(C55,_Listas!$C$2:$H$80,5,0)*D55/100,0)</f>
        <v>1.2</v>
      </c>
      <c r="I55" s="56" t="s">
        <v>115</v>
      </c>
    </row>
    <row r="56" customFormat="false" ht="19.5" hidden="false" customHeight="true" outlineLevel="0" collapsed="false">
      <c r="B56" s="57"/>
      <c r="C56" s="12" t="s">
        <v>29</v>
      </c>
      <c r="D56" s="13" t="n">
        <v>140</v>
      </c>
      <c r="E56" s="17" t="n">
        <f aca="false">IFERROR(VLOOKUP(C56,_Listas!$C$2:$H$80,2,0)*D56/100,0)</f>
        <v>306.6</v>
      </c>
      <c r="F56" s="17" t="n">
        <f aca="false">IFERROR(VLOOKUP(C56,_Listas!$C$2:$H$80,3,0)*D56/100,0)</f>
        <v>49</v>
      </c>
      <c r="G56" s="17" t="n">
        <f aca="false">IFERROR(VLOOKUP(C56,_Listas!$C$2:$H$80,4,0)*D56/100,0)</f>
        <v>0</v>
      </c>
      <c r="H56" s="17" t="n">
        <f aca="false">IFERROR(VLOOKUP(C56,_Listas!$C$2:$H$80,5,0)*D56/100,0)</f>
        <v>11.9</v>
      </c>
      <c r="I56" s="18" t="s">
        <v>162</v>
      </c>
    </row>
    <row r="57" customFormat="false" ht="19.5" hidden="false" customHeight="true" outlineLevel="0" collapsed="false">
      <c r="B57" s="57"/>
      <c r="C57" s="12" t="s">
        <v>52</v>
      </c>
      <c r="D57" s="13" t="n">
        <v>100</v>
      </c>
      <c r="E57" s="55" t="n">
        <f aca="false">IFERROR(VLOOKUP(C57,_Listas!$C$2:$H$80,2,0)*D57/100,0)</f>
        <v>35</v>
      </c>
      <c r="F57" s="55" t="n">
        <f aca="false">IFERROR(VLOOKUP(C57,_Listas!$C$2:$H$80,3,0)*D57/100,0)</f>
        <v>1.5</v>
      </c>
      <c r="G57" s="55" t="n">
        <f aca="false">IFERROR(VLOOKUP(C57,_Listas!$C$2:$H$80,4,0)*D57/100,0)</f>
        <v>7</v>
      </c>
      <c r="H57" s="55" t="n">
        <f aca="false">IFERROR(VLOOKUP(C57,_Listas!$C$2:$H$80,5,0)*D57/100,0)</f>
        <v>0.3</v>
      </c>
      <c r="I57" s="56" t="s">
        <v>124</v>
      </c>
    </row>
    <row r="58" customFormat="false" ht="19.5" hidden="false" customHeight="true" outlineLevel="0" collapsed="false">
      <c r="B58" s="57"/>
      <c r="C58" s="12" t="s">
        <v>39</v>
      </c>
      <c r="D58" s="13" t="n">
        <v>140</v>
      </c>
      <c r="E58" s="17" t="n">
        <f aca="false">IFERROR(VLOOKUP(C58,_Listas!$C$2:$H$80,2,0)*D58/100,0)</f>
        <v>64.4</v>
      </c>
      <c r="F58" s="17" t="n">
        <f aca="false">IFERROR(VLOOKUP(C58,_Listas!$C$2:$H$80,3,0)*D58/100,0)</f>
        <v>1.26</v>
      </c>
      <c r="G58" s="17" t="n">
        <f aca="false">IFERROR(VLOOKUP(C58,_Listas!$C$2:$H$80,4,0)*D58/100,0)</f>
        <v>16.1</v>
      </c>
      <c r="H58" s="17" t="n">
        <f aca="false">IFERROR(VLOOKUP(C58,_Listas!$C$2:$H$80,5,0)*D58/100,0)</f>
        <v>0.14</v>
      </c>
      <c r="I58" s="18" t="s">
        <v>102</v>
      </c>
    </row>
    <row r="59" customFormat="false" ht="3.75" hidden="false" customHeight="true" outlineLevel="0" collapsed="false"/>
    <row r="60" customFormat="false" ht="31.5" hidden="false" customHeight="true" outlineLevel="0" collapsed="false">
      <c r="B60" s="58" t="s">
        <v>133</v>
      </c>
      <c r="C60" s="58"/>
      <c r="D60" s="59" t="n">
        <f aca="false">SUM(D9:D15,D19:D19,D23:D27,D38:D40,D44:D51)</f>
        <v>2231</v>
      </c>
      <c r="E60" s="59" t="n">
        <f aca="false">SUM(E9:E15,E19:E19,E23:E27,E38:E40,E44:E51)</f>
        <v>2317.4</v>
      </c>
      <c r="F60" s="59" t="n">
        <f aca="false">SUM(F9:F15,F19:F19,F23:F27,F38:F40,F44:F51)</f>
        <v>212.32</v>
      </c>
      <c r="G60" s="59" t="n">
        <f aca="false">SUM(G9:G15,G19:G19,G23:G27,G38:G40,G44:G51)</f>
        <v>214.56</v>
      </c>
      <c r="H60" s="59" t="n">
        <f aca="false">SUM(H9:H15,H19:H19,H23:H27,H38:H40,H44:H51)</f>
        <v>68.225</v>
      </c>
      <c r="I60" s="60"/>
    </row>
    <row r="61" customFormat="false" ht="21.75" hidden="false" customHeight="true" outlineLevel="0" collapsed="false">
      <c r="B61" s="61" t="s">
        <v>134</v>
      </c>
      <c r="C61" s="61"/>
      <c r="D61" s="62" t="str">
        <f aca="false">IF(E60&lt;C4*0.9,"⚠️ Abaixo da meta",IF(E60&lt;=C4,"✅ Na meta",IF(E60&lt;=C4*1.1,"🟡 Ligeiramente acima","🔴 Acima da meta")))</f>
        <v>🔴 Acima da meta</v>
      </c>
      <c r="E61" s="62"/>
      <c r="F61" s="62"/>
      <c r="G61" s="62"/>
      <c r="H61" s="62"/>
      <c r="I61" s="62"/>
    </row>
    <row r="63" customFormat="false" ht="25.5" hidden="false" customHeight="true" outlineLevel="0" collapsed="false">
      <c r="B63" s="63" t="s">
        <v>135</v>
      </c>
      <c r="C63" s="63"/>
      <c r="D63" s="63"/>
      <c r="E63" s="63"/>
      <c r="F63" s="63"/>
      <c r="G63" s="63"/>
      <c r="H63" s="63"/>
      <c r="I63" s="63"/>
    </row>
    <row r="64" customFormat="false" ht="31.5" hidden="false" customHeight="true" outlineLevel="0" collapsed="false">
      <c r="B64" s="64" t="s">
        <v>136</v>
      </c>
      <c r="C64" s="7" t="s">
        <v>94</v>
      </c>
      <c r="D64" s="7" t="s">
        <v>137</v>
      </c>
      <c r="E64" s="6" t="s">
        <v>138</v>
      </c>
      <c r="F64" s="8" t="s">
        <v>139</v>
      </c>
      <c r="G64" s="9" t="s">
        <v>140</v>
      </c>
      <c r="H64" s="64" t="s">
        <v>141</v>
      </c>
      <c r="I64" s="65"/>
    </row>
    <row r="65" customFormat="false" ht="19.5" hidden="false" customHeight="true" outlineLevel="0" collapsed="false">
      <c r="B65" s="66" t="s">
        <v>100</v>
      </c>
      <c r="C65" s="67" t="n">
        <f aca="false">SUM(E9:E15)</f>
        <v>361.35</v>
      </c>
      <c r="D65" s="68" t="n">
        <f aca="false">IFERROR(C65/E60,0)</f>
        <v>0.155929058427548</v>
      </c>
      <c r="E65" s="69" t="n">
        <f aca="false">SUM(F9:F15)</f>
        <v>13.02</v>
      </c>
      <c r="F65" s="69" t="n">
        <f aca="false">SUM(G9:G15)</f>
        <v>54.37</v>
      </c>
      <c r="G65" s="69" t="n">
        <f aca="false">SUM(H9:H15)</f>
        <v>10.4</v>
      </c>
      <c r="H65" s="70" t="s">
        <v>142</v>
      </c>
      <c r="I65" s="71"/>
    </row>
    <row r="66" customFormat="false" ht="19.5" hidden="false" customHeight="true" outlineLevel="0" collapsed="false">
      <c r="B66" s="72" t="s">
        <v>109</v>
      </c>
      <c r="C66" s="73" t="n">
        <f aca="false">SUM(E19:E19)</f>
        <v>201</v>
      </c>
      <c r="D66" s="74" t="n">
        <f aca="false">IFERROR(C66/E60,0)</f>
        <v>0.0867351342021231</v>
      </c>
      <c r="E66" s="75" t="n">
        <f aca="false">SUM(F19:F19)</f>
        <v>20.1</v>
      </c>
      <c r="F66" s="75" t="n">
        <f aca="false">SUM(G19:G19)</f>
        <v>30</v>
      </c>
      <c r="G66" s="75" t="n">
        <f aca="false">SUM(H19:H19)</f>
        <v>0</v>
      </c>
      <c r="H66" s="76" t="s">
        <v>143</v>
      </c>
      <c r="I66" s="77"/>
    </row>
    <row r="67" customFormat="false" ht="19.5" hidden="false" customHeight="true" outlineLevel="0" collapsed="false">
      <c r="B67" s="78" t="s">
        <v>112</v>
      </c>
      <c r="C67" s="79" t="n">
        <f aca="false">SUM(E23:E27)</f>
        <v>655.3</v>
      </c>
      <c r="D67" s="80" t="n">
        <f aca="false">IFERROR(C67/E60,0)</f>
        <v>0.282773798222146</v>
      </c>
      <c r="E67" s="81" t="n">
        <f aca="false">SUM(F23:F27)</f>
        <v>62.8</v>
      </c>
      <c r="F67" s="81" t="n">
        <f aca="false">SUM(G23:G27)</f>
        <v>58.99</v>
      </c>
      <c r="G67" s="81" t="n">
        <f aca="false">SUM(H23:H27)</f>
        <v>18.12</v>
      </c>
      <c r="H67" s="82" t="s">
        <v>144</v>
      </c>
      <c r="I67" s="83"/>
    </row>
    <row r="68" customFormat="false" ht="19.5" hidden="false" customHeight="true" outlineLevel="0" collapsed="false">
      <c r="B68" s="84" t="s">
        <v>119</v>
      </c>
      <c r="C68" s="92" t="n">
        <f aca="false">SUM(E38:E40)</f>
        <v>401.6</v>
      </c>
      <c r="D68" s="93" t="n">
        <f aca="false">IFERROR(C68/E60,0)</f>
        <v>0.173297661172003</v>
      </c>
      <c r="E68" s="94" t="n">
        <f aca="false">SUM(F38:F40)</f>
        <v>55.18</v>
      </c>
      <c r="F68" s="94" t="n">
        <f aca="false">SUM(G38:G40)</f>
        <v>28.48</v>
      </c>
      <c r="G68" s="94" t="n">
        <f aca="false">SUM(H38:H40)</f>
        <v>8.86</v>
      </c>
      <c r="H68" s="95" t="s">
        <v>145</v>
      </c>
      <c r="I68" s="96"/>
    </row>
    <row r="69" customFormat="false" ht="19.5" hidden="false" customHeight="true" outlineLevel="0" collapsed="false">
      <c r="B69" s="85" t="s">
        <v>123</v>
      </c>
      <c r="C69" s="73" t="n">
        <f aca="false">SUM(E44:E51)</f>
        <v>698.15</v>
      </c>
      <c r="D69" s="74" t="n">
        <f aca="false">IFERROR(C69/E60,0)</f>
        <v>0.30126434797618</v>
      </c>
      <c r="E69" s="75" t="n">
        <f aca="false">SUM(F44:F51)</f>
        <v>61.22</v>
      </c>
      <c r="F69" s="75" t="n">
        <f aca="false">SUM(G44:G51)</f>
        <v>42.72</v>
      </c>
      <c r="G69" s="75" t="n">
        <f aca="false">SUM(H44:H51)</f>
        <v>30.845</v>
      </c>
      <c r="H69" s="76" t="s">
        <v>146</v>
      </c>
      <c r="I69" s="77"/>
    </row>
  </sheetData>
  <mergeCells count="18">
    <mergeCell ref="B2:I2"/>
    <mergeCell ref="B3:I3"/>
    <mergeCell ref="B8:I8"/>
    <mergeCell ref="B16:C16"/>
    <mergeCell ref="B18:I18"/>
    <mergeCell ref="B20:C20"/>
    <mergeCell ref="B22:I22"/>
    <mergeCell ref="B28:C28"/>
    <mergeCell ref="B30:I30"/>
    <mergeCell ref="B37:I37"/>
    <mergeCell ref="B41:C41"/>
    <mergeCell ref="B43:I43"/>
    <mergeCell ref="B52:C52"/>
    <mergeCell ref="B54:I54"/>
    <mergeCell ref="B60:C60"/>
    <mergeCell ref="B61:C61"/>
    <mergeCell ref="D61:I61"/>
    <mergeCell ref="B63:I6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 C23:C27 C31:C35 C38:C40 C44:C51 C55:C58" type="list">
      <formula1>_Listas!$A$2:$A$80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1" t="s">
        <v>165</v>
      </c>
      <c r="C2" s="1"/>
      <c r="D2" s="1"/>
      <c r="E2" s="1"/>
      <c r="F2" s="1"/>
      <c r="G2" s="1"/>
      <c r="H2" s="1"/>
      <c r="I2" s="1"/>
    </row>
    <row r="3" customFormat="false" ht="15.75" hidden="false" customHeight="true" outlineLevel="0" collapsed="false">
      <c r="B3" s="2" t="s">
        <v>86</v>
      </c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B4" s="3" t="s">
        <v>87</v>
      </c>
      <c r="C4" s="4" t="n">
        <v>2000</v>
      </c>
      <c r="D4" s="3" t="s">
        <v>88</v>
      </c>
      <c r="E4" s="4" t="n">
        <v>70</v>
      </c>
      <c r="F4" s="3" t="s">
        <v>89</v>
      </c>
      <c r="G4" s="4" t="s">
        <v>90</v>
      </c>
    </row>
    <row r="5" customFormat="false" ht="6" hidden="false" customHeight="true" outlineLevel="0" collapsed="false"/>
    <row r="6" customFormat="false" ht="39.75" hidden="false" customHeight="true" outlineLevel="0" collapsed="false">
      <c r="B6" s="5" t="s">
        <v>91</v>
      </c>
      <c r="C6" s="5" t="s">
        <v>92</v>
      </c>
      <c r="D6" s="6" t="s">
        <v>93</v>
      </c>
      <c r="E6" s="7" t="s">
        <v>94</v>
      </c>
      <c r="F6" s="6" t="s">
        <v>95</v>
      </c>
      <c r="G6" s="8" t="s">
        <v>96</v>
      </c>
      <c r="H6" s="9" t="s">
        <v>97</v>
      </c>
      <c r="I6" s="5" t="s">
        <v>98</v>
      </c>
    </row>
    <row r="7" customFormat="false" ht="4.5" hidden="false" customHeight="true" outlineLevel="0" collapsed="false"/>
    <row r="8" customFormat="false" ht="24" hidden="false" customHeight="true" outlineLevel="0" collapsed="false">
      <c r="B8" s="10" t="s">
        <v>99</v>
      </c>
      <c r="C8" s="10"/>
      <c r="D8" s="10"/>
      <c r="E8" s="10"/>
      <c r="F8" s="10"/>
      <c r="G8" s="10"/>
      <c r="H8" s="10"/>
      <c r="I8" s="10"/>
    </row>
    <row r="9" customFormat="false" ht="19.5" hidden="false" customHeight="true" outlineLevel="0" collapsed="false">
      <c r="B9" s="11" t="s">
        <v>100</v>
      </c>
      <c r="C9" s="12" t="s">
        <v>23</v>
      </c>
      <c r="D9" s="13" t="n">
        <v>200</v>
      </c>
      <c r="E9" s="14" t="n">
        <f aca="false">IFERROR(VLOOKUP(C9,_Listas!$C$2:$H$80,2,0)*D9/100,0)</f>
        <v>4</v>
      </c>
      <c r="F9" s="14" t="n">
        <f aca="false">IFERROR(VLOOKUP(C9,_Listas!$C$2:$H$80,3,0)*D9/100,0)</f>
        <v>0.6</v>
      </c>
      <c r="G9" s="14" t="n">
        <f aca="false">IFERROR(VLOOKUP(C9,_Listas!$C$2:$H$80,4,0)*D9/100,0)</f>
        <v>0</v>
      </c>
      <c r="H9" s="14" t="n">
        <f aca="false">IFERROR(VLOOKUP(C9,_Listas!$C$2:$H$80,5,0)*D9/100,0)</f>
        <v>0</v>
      </c>
      <c r="I9" s="15" t="s">
        <v>101</v>
      </c>
    </row>
    <row r="10" customFormat="false" ht="19.5" hidden="false" customHeight="true" outlineLevel="0" collapsed="false">
      <c r="B10" s="16"/>
      <c r="C10" s="12" t="s">
        <v>69</v>
      </c>
      <c r="D10" s="13" t="n">
        <v>60</v>
      </c>
      <c r="E10" s="17" t="n">
        <f aca="false">IFERROR(VLOOKUP(C10,_Listas!$C$2:$H$80,2,0)*D10/100,0)</f>
        <v>180</v>
      </c>
      <c r="F10" s="17" t="n">
        <f aca="false">IFERROR(VLOOKUP(C10,_Listas!$C$2:$H$80,3,0)*D10/100,0)</f>
        <v>4.8</v>
      </c>
      <c r="G10" s="17" t="n">
        <f aca="false">IFERROR(VLOOKUP(C10,_Listas!$C$2:$H$80,4,0)*D10/100,0)</f>
        <v>35.16</v>
      </c>
      <c r="H10" s="17" t="n">
        <f aca="false">IFERROR(VLOOKUP(C10,_Listas!$C$2:$H$80,5,0)*D10/100,0)</f>
        <v>1.86</v>
      </c>
      <c r="I10" s="18" t="s">
        <v>102</v>
      </c>
    </row>
    <row r="11" customFormat="false" ht="19.5" hidden="false" customHeight="true" outlineLevel="0" collapsed="false">
      <c r="B11" s="16"/>
      <c r="C11" s="12" t="s">
        <v>73</v>
      </c>
      <c r="D11" s="13" t="n">
        <v>15</v>
      </c>
      <c r="E11" s="14" t="n">
        <f aca="false">IFERROR(VLOOKUP(C11,_Listas!$C$2:$H$80,2,0)*D11/100,0)</f>
        <v>36</v>
      </c>
      <c r="F11" s="14" t="n">
        <f aca="false">IFERROR(VLOOKUP(C11,_Listas!$C$2:$H$80,3,0)*D11/100,0)</f>
        <v>1.05</v>
      </c>
      <c r="G11" s="14" t="n">
        <f aca="false">IFERROR(VLOOKUP(C11,_Listas!$C$2:$H$80,4,0)*D11/100,0)</f>
        <v>0.525</v>
      </c>
      <c r="H11" s="14" t="n">
        <f aca="false">IFERROR(VLOOKUP(C11,_Listas!$C$2:$H$80,5,0)*D11/100,0)</f>
        <v>3.3</v>
      </c>
      <c r="I11" s="15" t="s">
        <v>103</v>
      </c>
    </row>
    <row r="12" customFormat="false" ht="19.5" hidden="false" customHeight="true" outlineLevel="0" collapsed="false">
      <c r="B12" s="16"/>
      <c r="C12" s="12" t="s">
        <v>72</v>
      </c>
      <c r="D12" s="13" t="n">
        <v>20</v>
      </c>
      <c r="E12" s="17" t="n">
        <f aca="false">IFERROR(VLOOKUP(C12,_Listas!$C$2:$H$80,2,0)*D12/100,0)</f>
        <v>57.8</v>
      </c>
      <c r="F12" s="17" t="n">
        <f aca="false">IFERROR(VLOOKUP(C12,_Listas!$C$2:$H$80,3,0)*D12/100,0)</f>
        <v>3.6</v>
      </c>
      <c r="G12" s="17" t="n">
        <f aca="false">IFERROR(VLOOKUP(C12,_Listas!$C$2:$H$80,4,0)*D12/100,0)</f>
        <v>0.52</v>
      </c>
      <c r="H12" s="17" t="n">
        <f aca="false">IFERROR(VLOOKUP(C12,_Listas!$C$2:$H$80,5,0)*D12/100,0)</f>
        <v>4.58</v>
      </c>
      <c r="I12" s="18" t="s">
        <v>104</v>
      </c>
    </row>
    <row r="13" customFormat="false" ht="19.5" hidden="false" customHeight="true" outlineLevel="0" collapsed="false">
      <c r="B13" s="16"/>
      <c r="C13" s="12" t="s">
        <v>16</v>
      </c>
      <c r="D13" s="13" t="n">
        <v>70</v>
      </c>
      <c r="E13" s="14" t="n">
        <f aca="false">IFERROR(VLOOKUP(C13,_Listas!$C$2:$H$80,2,0)*D13/100,0)</f>
        <v>64.4</v>
      </c>
      <c r="F13" s="14" t="n">
        <f aca="false">IFERROR(VLOOKUP(C13,_Listas!$C$2:$H$80,3,0)*D13/100,0)</f>
        <v>0.91</v>
      </c>
      <c r="G13" s="14" t="n">
        <f aca="false">IFERROR(VLOOKUP(C13,_Listas!$C$2:$H$80,4,0)*D13/100,0)</f>
        <v>16.66</v>
      </c>
      <c r="H13" s="14" t="n">
        <f aca="false">IFERROR(VLOOKUP(C13,_Listas!$C$2:$H$80,5,0)*D13/100,0)</f>
        <v>0.07</v>
      </c>
      <c r="I13" s="15" t="s">
        <v>105</v>
      </c>
    </row>
    <row r="14" customFormat="false" ht="19.5" hidden="false" customHeight="true" outlineLevel="0" collapsed="false">
      <c r="B14" s="16"/>
      <c r="C14" s="12" t="s">
        <v>32</v>
      </c>
      <c r="D14" s="13" t="n">
        <v>6</v>
      </c>
      <c r="E14" s="17" t="n">
        <f aca="false">IFERROR(VLOOKUP(C14,_Listas!$C$2:$H$80,2,0)*D14/100,0)</f>
        <v>0</v>
      </c>
      <c r="F14" s="17" t="n">
        <f aca="false">IFERROR(VLOOKUP(C14,_Listas!$C$2:$H$80,3,0)*D14/100,0)</f>
        <v>0</v>
      </c>
      <c r="G14" s="17" t="n">
        <f aca="false">IFERROR(VLOOKUP(C14,_Listas!$C$2:$H$80,4,0)*D14/100,0)</f>
        <v>0</v>
      </c>
      <c r="H14" s="17" t="n">
        <f aca="false">IFERROR(VLOOKUP(C14,_Listas!$C$2:$H$80,5,0)*D14/100,0)</f>
        <v>0</v>
      </c>
      <c r="I14" s="18" t="s">
        <v>106</v>
      </c>
    </row>
    <row r="15" customFormat="false" ht="18" hidden="false" customHeight="true" outlineLevel="0" collapsed="false">
      <c r="B15" s="19" t="s">
        <v>107</v>
      </c>
      <c r="C15" s="19"/>
      <c r="D15" s="20" t="n">
        <f aca="false">SUM(D9:D14)</f>
        <v>371</v>
      </c>
      <c r="E15" s="20" t="n">
        <f aca="false">SUM(E9:E14)</f>
        <v>342.2</v>
      </c>
      <c r="F15" s="20" t="n">
        <f aca="false">SUM(F9:F14)</f>
        <v>10.96</v>
      </c>
      <c r="G15" s="20" t="n">
        <f aca="false">SUM(G9:G14)</f>
        <v>52.865</v>
      </c>
      <c r="H15" s="20" t="n">
        <f aca="false">SUM(H9:H14)</f>
        <v>9.81</v>
      </c>
      <c r="I15" s="21"/>
    </row>
    <row r="16" customFormat="false" ht="3.75" hidden="false" customHeight="true" outlineLevel="0" collapsed="false"/>
    <row r="17" customFormat="false" ht="24" hidden="false" customHeight="true" outlineLevel="0" collapsed="false">
      <c r="B17" s="22" t="s">
        <v>108</v>
      </c>
      <c r="C17" s="22"/>
      <c r="D17" s="22"/>
      <c r="E17" s="22"/>
      <c r="F17" s="22"/>
      <c r="G17" s="22"/>
      <c r="H17" s="22"/>
      <c r="I17" s="22"/>
    </row>
    <row r="18" customFormat="false" ht="19.5" hidden="false" customHeight="true" outlineLevel="0" collapsed="false">
      <c r="B18" s="23" t="s">
        <v>109</v>
      </c>
      <c r="C18" s="12" t="s">
        <v>84</v>
      </c>
      <c r="D18" s="13" t="n">
        <v>300</v>
      </c>
      <c r="E18" s="24" t="n">
        <f aca="false">IFERROR(VLOOKUP(C18,_Listas!$C$2:$H$80,2,0)*D18/100,0)</f>
        <v>201</v>
      </c>
      <c r="F18" s="24" t="n">
        <f aca="false">IFERROR(VLOOKUP(C18,_Listas!$C$2:$H$80,3,0)*D18/100,0)</f>
        <v>20.1</v>
      </c>
      <c r="G18" s="24" t="n">
        <f aca="false">IFERROR(VLOOKUP(C18,_Listas!$C$2:$H$80,4,0)*D18/100,0)</f>
        <v>30</v>
      </c>
      <c r="H18" s="24" t="n">
        <f aca="false">IFERROR(VLOOKUP(C18,_Listas!$C$2:$H$80,5,0)*D18/100,0)</f>
        <v>0</v>
      </c>
      <c r="I18" s="25" t="s">
        <v>102</v>
      </c>
    </row>
    <row r="19" customFormat="false" ht="18" hidden="false" customHeight="true" outlineLevel="0" collapsed="false">
      <c r="B19" s="26" t="s">
        <v>110</v>
      </c>
      <c r="C19" s="26"/>
      <c r="D19" s="27" t="n">
        <f aca="false">SUM(D18:D18)</f>
        <v>300</v>
      </c>
      <c r="E19" s="27" t="n">
        <f aca="false">SUM(E18:E18)</f>
        <v>201</v>
      </c>
      <c r="F19" s="27" t="n">
        <f aca="false">SUM(F18:F18)</f>
        <v>20.1</v>
      </c>
      <c r="G19" s="27" t="n">
        <f aca="false">SUM(G18:G18)</f>
        <v>30</v>
      </c>
      <c r="H19" s="27" t="n">
        <f aca="false">SUM(H18:H18)</f>
        <v>0</v>
      </c>
      <c r="I19" s="28"/>
    </row>
    <row r="20" customFormat="false" ht="3.75" hidden="false" customHeight="true" outlineLevel="0" collapsed="false"/>
    <row r="21" customFormat="false" ht="24" hidden="false" customHeight="true" outlineLevel="0" collapsed="false">
      <c r="B21" s="29" t="s">
        <v>111</v>
      </c>
      <c r="C21" s="29"/>
      <c r="D21" s="29"/>
      <c r="E21" s="29"/>
      <c r="F21" s="29"/>
      <c r="G21" s="29"/>
      <c r="H21" s="29"/>
      <c r="I21" s="29"/>
    </row>
    <row r="22" customFormat="false" ht="19.5" hidden="false" customHeight="true" outlineLevel="0" collapsed="false">
      <c r="B22" s="30" t="s">
        <v>112</v>
      </c>
      <c r="C22" s="12" t="s">
        <v>18</v>
      </c>
      <c r="D22" s="13" t="n">
        <v>150</v>
      </c>
      <c r="E22" s="31" t="n">
        <f aca="false">IFERROR(VLOOKUP(C22,_Listas!$C$2:$H$80,2,0)*D22/100,0)</f>
        <v>139.5</v>
      </c>
      <c r="F22" s="31" t="n">
        <f aca="false">IFERROR(VLOOKUP(C22,_Listas!$C$2:$H$80,3,0)*D22/100,0)</f>
        <v>3.75</v>
      </c>
      <c r="G22" s="31" t="n">
        <f aca="false">IFERROR(VLOOKUP(C22,_Listas!$C$2:$H$80,4,0)*D22/100,0)</f>
        <v>31.5</v>
      </c>
      <c r="H22" s="31" t="n">
        <f aca="false">IFERROR(VLOOKUP(C22,_Listas!$C$2:$H$80,5,0)*D22/100,0)</f>
        <v>0.15</v>
      </c>
      <c r="I22" s="32" t="s">
        <v>113</v>
      </c>
    </row>
    <row r="23" customFormat="false" ht="19.5" hidden="false" customHeight="true" outlineLevel="0" collapsed="false">
      <c r="B23" s="33"/>
      <c r="C23" s="12" t="s">
        <v>34</v>
      </c>
      <c r="D23" s="13" t="n">
        <v>120</v>
      </c>
      <c r="E23" s="17" t="n">
        <f aca="false">IFERROR(VLOOKUP(C23,_Listas!$C$2:$H$80,2,0)*D23/100,0)</f>
        <v>92.4</v>
      </c>
      <c r="F23" s="17" t="n">
        <f aca="false">IFERROR(VLOOKUP(C23,_Listas!$C$2:$H$80,3,0)*D23/100,0)</f>
        <v>5.4</v>
      </c>
      <c r="G23" s="17" t="n">
        <f aca="false">IFERROR(VLOOKUP(C23,_Listas!$C$2:$H$80,4,0)*D23/100,0)</f>
        <v>16.32</v>
      </c>
      <c r="H23" s="17" t="n">
        <f aca="false">IFERROR(VLOOKUP(C23,_Listas!$C$2:$H$80,5,0)*D23/100,0)</f>
        <v>0.6</v>
      </c>
      <c r="I23" s="18" t="s">
        <v>114</v>
      </c>
    </row>
    <row r="24" customFormat="false" ht="19.5" hidden="false" customHeight="true" outlineLevel="0" collapsed="false">
      <c r="B24" s="33"/>
      <c r="C24" s="12" t="s">
        <v>53</v>
      </c>
      <c r="D24" s="13" t="n">
        <v>100</v>
      </c>
      <c r="E24" s="31" t="n">
        <f aca="false">IFERROR(VLOOKUP(C24,_Listas!$C$2:$H$80,2,0)*D24/100,0)</f>
        <v>26</v>
      </c>
      <c r="F24" s="31" t="n">
        <f aca="false">IFERROR(VLOOKUP(C24,_Listas!$C$2:$H$80,3,0)*D24/100,0)</f>
        <v>0.7</v>
      </c>
      <c r="G24" s="31" t="n">
        <f aca="false">IFERROR(VLOOKUP(C24,_Listas!$C$2:$H$80,4,0)*D24/100,0)</f>
        <v>6</v>
      </c>
      <c r="H24" s="31" t="n">
        <f aca="false">IFERROR(VLOOKUP(C24,_Listas!$C$2:$H$80,5,0)*D24/100,0)</f>
        <v>0.1</v>
      </c>
      <c r="I24" s="32" t="s">
        <v>115</v>
      </c>
    </row>
    <row r="25" customFormat="false" ht="19.5" hidden="false" customHeight="true" outlineLevel="0" collapsed="false">
      <c r="B25" s="33"/>
      <c r="C25" s="12" t="s">
        <v>76</v>
      </c>
      <c r="D25" s="13" t="n">
        <v>150</v>
      </c>
      <c r="E25" s="17" t="n">
        <f aca="false">IFERROR(VLOOKUP(C25,_Listas!$C$2:$H$80,2,0)*D25/100,0)</f>
        <v>322.5</v>
      </c>
      <c r="F25" s="17" t="n">
        <f aca="false">IFERROR(VLOOKUP(C25,_Listas!$C$2:$H$80,3,0)*D25/100,0)</f>
        <v>31.5</v>
      </c>
      <c r="G25" s="17" t="n">
        <f aca="false">IFERROR(VLOOKUP(C25,_Listas!$C$2:$H$80,4,0)*D25/100,0)</f>
        <v>0</v>
      </c>
      <c r="H25" s="17" t="n">
        <f aca="false">IFERROR(VLOOKUP(C25,_Listas!$C$2:$H$80,5,0)*D25/100,0)</f>
        <v>21</v>
      </c>
      <c r="I25" s="18" t="s">
        <v>116</v>
      </c>
    </row>
    <row r="26" customFormat="false" ht="19.5" hidden="false" customHeight="true" outlineLevel="0" collapsed="false">
      <c r="B26" s="33"/>
      <c r="C26" s="12" t="s">
        <v>49</v>
      </c>
      <c r="D26" s="13" t="n">
        <v>150</v>
      </c>
      <c r="E26" s="31" t="n">
        <f aca="false">IFERROR(VLOOKUP(C26,_Listas!$C$2:$H$80,2,0)*D26/100,0)</f>
        <v>49.5</v>
      </c>
      <c r="F26" s="31" t="n">
        <f aca="false">IFERROR(VLOOKUP(C26,_Listas!$C$2:$H$80,3,0)*D26/100,0)</f>
        <v>1.05</v>
      </c>
      <c r="G26" s="31" t="n">
        <f aca="false">IFERROR(VLOOKUP(C26,_Listas!$C$2:$H$80,4,0)*D26/100,0)</f>
        <v>12</v>
      </c>
      <c r="H26" s="31" t="n">
        <f aca="false">IFERROR(VLOOKUP(C26,_Listas!$C$2:$H$80,5,0)*D26/100,0)</f>
        <v>0.3</v>
      </c>
      <c r="I26" s="32" t="s">
        <v>104</v>
      </c>
    </row>
    <row r="27" customFormat="false" ht="18" hidden="false" customHeight="true" outlineLevel="0" collapsed="false">
      <c r="B27" s="34" t="s">
        <v>117</v>
      </c>
      <c r="C27" s="34"/>
      <c r="D27" s="35" t="n">
        <f aca="false">SUM(D22:D26)</f>
        <v>670</v>
      </c>
      <c r="E27" s="35" t="n">
        <f aca="false">SUM(E22:E26)</f>
        <v>629.9</v>
      </c>
      <c r="F27" s="35" t="n">
        <f aca="false">SUM(F22:F26)</f>
        <v>42.4</v>
      </c>
      <c r="G27" s="35" t="n">
        <f aca="false">SUM(G22:G26)</f>
        <v>65.82</v>
      </c>
      <c r="H27" s="35" t="n">
        <f aca="false">SUM(H22:H26)</f>
        <v>22.15</v>
      </c>
      <c r="I27" s="36"/>
    </row>
    <row r="28" customFormat="false" ht="3.75" hidden="false" customHeight="true" outlineLevel="0" collapsed="false"/>
    <row r="29" customFormat="false" ht="24" hidden="false" customHeight="true" outlineLevel="0" collapsed="false">
      <c r="B29" s="37" t="s">
        <v>118</v>
      </c>
      <c r="C29" s="37"/>
      <c r="D29" s="37"/>
      <c r="E29" s="37"/>
      <c r="F29" s="37"/>
      <c r="G29" s="37"/>
      <c r="H29" s="37"/>
      <c r="I29" s="37"/>
    </row>
    <row r="30" customFormat="false" ht="19.5" hidden="false" customHeight="true" outlineLevel="0" collapsed="false">
      <c r="B30" s="38" t="s">
        <v>119</v>
      </c>
      <c r="C30" s="12" t="s">
        <v>23</v>
      </c>
      <c r="D30" s="13" t="n">
        <v>200</v>
      </c>
      <c r="E30" s="39" t="n">
        <f aca="false">IFERROR(VLOOKUP(C30,_Listas!$C$2:$H$80,2,0)*D30/100,0)</f>
        <v>4</v>
      </c>
      <c r="F30" s="39" t="n">
        <f aca="false">IFERROR(VLOOKUP(C30,_Listas!$C$2:$H$80,3,0)*D30/100,0)</f>
        <v>0.6</v>
      </c>
      <c r="G30" s="39" t="n">
        <f aca="false">IFERROR(VLOOKUP(C30,_Listas!$C$2:$H$80,4,0)*D30/100,0)</f>
        <v>0</v>
      </c>
      <c r="H30" s="39" t="n">
        <f aca="false">IFERROR(VLOOKUP(C30,_Listas!$C$2:$H$80,5,0)*D30/100,0)</f>
        <v>0</v>
      </c>
      <c r="I30" s="40" t="s">
        <v>101</v>
      </c>
    </row>
    <row r="31" customFormat="false" ht="19.5" hidden="false" customHeight="true" outlineLevel="0" collapsed="false">
      <c r="B31" s="41"/>
      <c r="C31" s="12" t="s">
        <v>69</v>
      </c>
      <c r="D31" s="13" t="n">
        <v>60</v>
      </c>
      <c r="E31" s="17" t="n">
        <f aca="false">IFERROR(VLOOKUP(C31,_Listas!$C$2:$H$80,2,0)*D31/100,0)</f>
        <v>180</v>
      </c>
      <c r="F31" s="17" t="n">
        <f aca="false">IFERROR(VLOOKUP(C31,_Listas!$C$2:$H$80,3,0)*D31/100,0)</f>
        <v>4.8</v>
      </c>
      <c r="G31" s="17" t="n">
        <f aca="false">IFERROR(VLOOKUP(C31,_Listas!$C$2:$H$80,4,0)*D31/100,0)</f>
        <v>35.16</v>
      </c>
      <c r="H31" s="17" t="n">
        <f aca="false">IFERROR(VLOOKUP(C31,_Listas!$C$2:$H$80,5,0)*D31/100,0)</f>
        <v>1.86</v>
      </c>
      <c r="I31" s="18" t="s">
        <v>102</v>
      </c>
    </row>
    <row r="32" customFormat="false" ht="19.5" hidden="false" customHeight="true" outlineLevel="0" collapsed="false">
      <c r="B32" s="41"/>
      <c r="C32" s="12" t="s">
        <v>35</v>
      </c>
      <c r="D32" s="13" t="n">
        <v>50</v>
      </c>
      <c r="E32" s="39" t="n">
        <f aca="false">IFERROR(VLOOKUP(C32,_Listas!$C$2:$H$80,2,0)*D32/100,0)</f>
        <v>81.5</v>
      </c>
      <c r="F32" s="39" t="n">
        <f aca="false">IFERROR(VLOOKUP(C32,_Listas!$C$2:$H$80,3,0)*D32/100,0)</f>
        <v>15.75</v>
      </c>
      <c r="G32" s="39" t="n">
        <f aca="false">IFERROR(VLOOKUP(C32,_Listas!$C$2:$H$80,4,0)*D32/100,0)</f>
        <v>0</v>
      </c>
      <c r="H32" s="39" t="n">
        <f aca="false">IFERROR(VLOOKUP(C32,_Listas!$C$2:$H$80,5,0)*D32/100,0)</f>
        <v>1.85</v>
      </c>
      <c r="I32" s="40" t="s">
        <v>120</v>
      </c>
    </row>
    <row r="33" customFormat="false" ht="19.5" hidden="false" customHeight="true" outlineLevel="0" collapsed="false">
      <c r="B33" s="41"/>
      <c r="C33" s="12" t="s">
        <v>50</v>
      </c>
      <c r="D33" s="13" t="n">
        <v>150</v>
      </c>
      <c r="E33" s="17" t="n">
        <f aca="false">IFERROR(VLOOKUP(C33,_Listas!$C$2:$H$80,2,0)*D33/100,0)</f>
        <v>43.5</v>
      </c>
      <c r="F33" s="17" t="n">
        <f aca="false">IFERROR(VLOOKUP(C33,_Listas!$C$2:$H$80,3,0)*D33/100,0)</f>
        <v>1.05</v>
      </c>
      <c r="G33" s="17" t="n">
        <f aca="false">IFERROR(VLOOKUP(C33,_Listas!$C$2:$H$80,4,0)*D33/100,0)</f>
        <v>11.1</v>
      </c>
      <c r="H33" s="17" t="n">
        <f aca="false">IFERROR(VLOOKUP(C33,_Listas!$C$2:$H$80,5,0)*D33/100,0)</f>
        <v>0.15</v>
      </c>
      <c r="I33" s="18" t="s">
        <v>104</v>
      </c>
    </row>
    <row r="34" customFormat="false" ht="18" hidden="false" customHeight="true" outlineLevel="0" collapsed="false">
      <c r="B34" s="42" t="s">
        <v>121</v>
      </c>
      <c r="C34" s="42"/>
      <c r="D34" s="43" t="n">
        <f aca="false">SUM(D30:D33)</f>
        <v>460</v>
      </c>
      <c r="E34" s="43" t="n">
        <f aca="false">SUM(E30:E33)</f>
        <v>309</v>
      </c>
      <c r="F34" s="43" t="n">
        <f aca="false">SUM(F30:F33)</f>
        <v>22.2</v>
      </c>
      <c r="G34" s="43" t="n">
        <f aca="false">SUM(G30:G33)</f>
        <v>46.26</v>
      </c>
      <c r="H34" s="43" t="n">
        <f aca="false">SUM(H30:H33)</f>
        <v>3.86</v>
      </c>
      <c r="I34" s="44"/>
    </row>
    <row r="35" customFormat="false" ht="3.75" hidden="false" customHeight="true" outlineLevel="0" collapsed="false"/>
    <row r="36" customFormat="false" ht="24" hidden="false" customHeight="true" outlineLevel="0" collapsed="false">
      <c r="B36" s="45" t="s">
        <v>122</v>
      </c>
      <c r="C36" s="45"/>
      <c r="D36" s="45"/>
      <c r="E36" s="45"/>
      <c r="F36" s="45"/>
      <c r="G36" s="45"/>
      <c r="H36" s="45"/>
      <c r="I36" s="45"/>
    </row>
    <row r="37" customFormat="false" ht="19.5" hidden="false" customHeight="true" outlineLevel="0" collapsed="false">
      <c r="B37" s="46" t="s">
        <v>123</v>
      </c>
      <c r="C37" s="12" t="s">
        <v>13</v>
      </c>
      <c r="D37" s="13" t="n">
        <v>140</v>
      </c>
      <c r="E37" s="47" t="n">
        <f aca="false">IFERROR(VLOOKUP(C37,_Listas!$C$2:$H$80,2,0)*D37/100,0)</f>
        <v>179.2</v>
      </c>
      <c r="F37" s="47" t="n">
        <f aca="false">IFERROR(VLOOKUP(C37,_Listas!$C$2:$H$80,3,0)*D37/100,0)</f>
        <v>3.5</v>
      </c>
      <c r="G37" s="47" t="n">
        <f aca="false">IFERROR(VLOOKUP(C37,_Listas!$C$2:$H$80,4,0)*D37/100,0)</f>
        <v>39.34</v>
      </c>
      <c r="H37" s="47" t="n">
        <f aca="false">IFERROR(VLOOKUP(C37,_Listas!$C$2:$H$80,5,0)*D37/100,0)</f>
        <v>0.28</v>
      </c>
      <c r="I37" s="48" t="s">
        <v>124</v>
      </c>
    </row>
    <row r="38" customFormat="false" ht="19.5" hidden="false" customHeight="true" outlineLevel="0" collapsed="false">
      <c r="B38" s="49"/>
      <c r="C38" s="12" t="s">
        <v>34</v>
      </c>
      <c r="D38" s="13" t="n">
        <v>120</v>
      </c>
      <c r="E38" s="17" t="n">
        <f aca="false">IFERROR(VLOOKUP(C38,_Listas!$C$2:$H$80,2,0)*D38/100,0)</f>
        <v>92.4</v>
      </c>
      <c r="F38" s="17" t="n">
        <f aca="false">IFERROR(VLOOKUP(C38,_Listas!$C$2:$H$80,3,0)*D38/100,0)</f>
        <v>5.4</v>
      </c>
      <c r="G38" s="17" t="n">
        <f aca="false">IFERROR(VLOOKUP(C38,_Listas!$C$2:$H$80,4,0)*D38/100,0)</f>
        <v>16.32</v>
      </c>
      <c r="H38" s="17" t="n">
        <f aca="false">IFERROR(VLOOKUP(C38,_Listas!$C$2:$H$80,5,0)*D38/100,0)</f>
        <v>0.6</v>
      </c>
      <c r="I38" s="18" t="s">
        <v>114</v>
      </c>
    </row>
    <row r="39" customFormat="false" ht="19.5" hidden="false" customHeight="true" outlineLevel="0" collapsed="false">
      <c r="B39" s="49"/>
      <c r="C39" s="12" t="s">
        <v>35</v>
      </c>
      <c r="D39" s="13" t="n">
        <v>140</v>
      </c>
      <c r="E39" s="47" t="n">
        <f aca="false">IFERROR(VLOOKUP(C39,_Listas!$C$2:$H$80,2,0)*D39/100,0)</f>
        <v>228.2</v>
      </c>
      <c r="F39" s="47" t="n">
        <f aca="false">IFERROR(VLOOKUP(C39,_Listas!$C$2:$H$80,3,0)*D39/100,0)</f>
        <v>44.1</v>
      </c>
      <c r="G39" s="47" t="n">
        <f aca="false">IFERROR(VLOOKUP(C39,_Listas!$C$2:$H$80,4,0)*D39/100,0)</f>
        <v>0</v>
      </c>
      <c r="H39" s="47" t="n">
        <f aca="false">IFERROR(VLOOKUP(C39,_Listas!$C$2:$H$80,5,0)*D39/100,0)</f>
        <v>5.18</v>
      </c>
      <c r="I39" s="48" t="s">
        <v>125</v>
      </c>
    </row>
    <row r="40" customFormat="false" ht="19.5" hidden="false" customHeight="true" outlineLevel="0" collapsed="false">
      <c r="B40" s="49"/>
      <c r="C40" s="12" t="s">
        <v>50</v>
      </c>
      <c r="D40" s="13" t="n">
        <v>150</v>
      </c>
      <c r="E40" s="17" t="n">
        <f aca="false">IFERROR(VLOOKUP(C40,_Listas!$C$2:$H$80,2,0)*D40/100,0)</f>
        <v>43.5</v>
      </c>
      <c r="F40" s="17" t="n">
        <f aca="false">IFERROR(VLOOKUP(C40,_Listas!$C$2:$H$80,3,0)*D40/100,0)</f>
        <v>1.05</v>
      </c>
      <c r="G40" s="17" t="n">
        <f aca="false">IFERROR(VLOOKUP(C40,_Listas!$C$2:$H$80,4,0)*D40/100,0)</f>
        <v>11.1</v>
      </c>
      <c r="H40" s="17" t="n">
        <f aca="false">IFERROR(VLOOKUP(C40,_Listas!$C$2:$H$80,5,0)*D40/100,0)</f>
        <v>0.15</v>
      </c>
      <c r="I40" s="18" t="s">
        <v>104</v>
      </c>
    </row>
    <row r="41" customFormat="false" ht="18" hidden="false" customHeight="true" outlineLevel="0" collapsed="false">
      <c r="B41" s="50" t="s">
        <v>126</v>
      </c>
      <c r="C41" s="50"/>
      <c r="D41" s="51" t="n">
        <f aca="false">SUM(D37:D40)</f>
        <v>550</v>
      </c>
      <c r="E41" s="51" t="n">
        <f aca="false">SUM(E37:E40)</f>
        <v>543.3</v>
      </c>
      <c r="F41" s="51" t="n">
        <f aca="false">SUM(F37:F40)</f>
        <v>54.05</v>
      </c>
      <c r="G41" s="51" t="n">
        <f aca="false">SUM(G37:G40)</f>
        <v>66.76</v>
      </c>
      <c r="H41" s="51" t="n">
        <f aca="false">SUM(H37:H40)</f>
        <v>6.21</v>
      </c>
      <c r="I41" s="52"/>
    </row>
    <row r="42" customFormat="false" ht="3.75" hidden="false" customHeight="true" outlineLevel="0" collapsed="false"/>
    <row r="43" customFormat="false" ht="19.5" hidden="false" customHeight="true" outlineLevel="0" collapsed="false">
      <c r="B43" s="53" t="s">
        <v>127</v>
      </c>
      <c r="C43" s="53"/>
      <c r="D43" s="53"/>
      <c r="E43" s="53"/>
      <c r="F43" s="53"/>
      <c r="G43" s="53"/>
      <c r="H43" s="53"/>
      <c r="I43" s="53"/>
    </row>
    <row r="44" customFormat="false" ht="19.5" hidden="false" customHeight="true" outlineLevel="0" collapsed="false">
      <c r="B44" s="54" t="s">
        <v>128</v>
      </c>
      <c r="C44" s="12" t="s">
        <v>77</v>
      </c>
      <c r="D44" s="13" t="n">
        <v>200</v>
      </c>
      <c r="E44" s="55" t="n">
        <f aca="false">IFERROR(VLOOKUP(C44,_Listas!$C$2:$H$80,2,0)*D44/100,0)</f>
        <v>90</v>
      </c>
      <c r="F44" s="55" t="n">
        <f aca="false">IFERROR(VLOOKUP(C44,_Listas!$C$2:$H$80,3,0)*D44/100,0)</f>
        <v>1.4</v>
      </c>
      <c r="G44" s="55" t="n">
        <f aca="false">IFERROR(VLOOKUP(C44,_Listas!$C$2:$H$80,4,0)*D44/100,0)</f>
        <v>21.4</v>
      </c>
      <c r="H44" s="55" t="n">
        <f aca="false">IFERROR(VLOOKUP(C44,_Listas!$C$2:$H$80,5,0)*D44/100,0)</f>
        <v>0.4</v>
      </c>
      <c r="I44" s="56" t="s">
        <v>129</v>
      </c>
    </row>
    <row r="45" customFormat="false" ht="19.5" hidden="false" customHeight="true" outlineLevel="0" collapsed="false">
      <c r="B45" s="57"/>
      <c r="C45" s="12" t="s">
        <v>78</v>
      </c>
      <c r="D45" s="13" t="n">
        <v>30</v>
      </c>
      <c r="E45" s="17" t="n">
        <f aca="false">IFERROR(VLOOKUP(C45,_Listas!$C$2:$H$80,2,0)*D45/100,0)</f>
        <v>106.2</v>
      </c>
      <c r="F45" s="17" t="n">
        <f aca="false">IFERROR(VLOOKUP(C45,_Listas!$C$2:$H$80,3,0)*D45/100,0)</f>
        <v>0.03</v>
      </c>
      <c r="G45" s="17" t="n">
        <f aca="false">IFERROR(VLOOKUP(C45,_Listas!$C$2:$H$80,4,0)*D45/100,0)</f>
        <v>26.34</v>
      </c>
      <c r="H45" s="17" t="n">
        <f aca="false">IFERROR(VLOOKUP(C45,_Listas!$C$2:$H$80,5,0)*D45/100,0)</f>
        <v>0.09</v>
      </c>
      <c r="I45" s="18" t="s">
        <v>130</v>
      </c>
    </row>
    <row r="46" customFormat="false" ht="19.5" hidden="false" customHeight="true" outlineLevel="0" collapsed="false">
      <c r="B46" s="57"/>
      <c r="C46" s="12" t="s">
        <v>55</v>
      </c>
      <c r="D46" s="13" t="n">
        <v>100</v>
      </c>
      <c r="E46" s="55" t="n">
        <f aca="false">IFERROR(VLOOKUP(C46,_Listas!$C$2:$H$80,2,0)*D46/100,0)</f>
        <v>146</v>
      </c>
      <c r="F46" s="55" t="n">
        <f aca="false">IFERROR(VLOOKUP(C46,_Listas!$C$2:$H$80,3,0)*D46/100,0)</f>
        <v>13.3</v>
      </c>
      <c r="G46" s="55" t="n">
        <f aca="false">IFERROR(VLOOKUP(C46,_Listas!$C$2:$H$80,4,0)*D46/100,0)</f>
        <v>0.6</v>
      </c>
      <c r="H46" s="55" t="n">
        <f aca="false">IFERROR(VLOOKUP(C46,_Listas!$C$2:$H$80,5,0)*D46/100,0)</f>
        <v>10</v>
      </c>
      <c r="I46" s="56" t="s">
        <v>131</v>
      </c>
    </row>
    <row r="47" customFormat="false" ht="19.5" hidden="false" customHeight="true" outlineLevel="0" collapsed="false">
      <c r="B47" s="57"/>
      <c r="C47" s="12" t="s">
        <v>72</v>
      </c>
      <c r="D47" s="13" t="n">
        <v>20</v>
      </c>
      <c r="E47" s="17" t="n">
        <f aca="false">IFERROR(VLOOKUP(C47,_Listas!$C$2:$H$80,2,0)*D47/100,0)</f>
        <v>57.8</v>
      </c>
      <c r="F47" s="17" t="n">
        <f aca="false">IFERROR(VLOOKUP(C47,_Listas!$C$2:$H$80,3,0)*D47/100,0)</f>
        <v>3.6</v>
      </c>
      <c r="G47" s="17" t="n">
        <f aca="false">IFERROR(VLOOKUP(C47,_Listas!$C$2:$H$80,4,0)*D47/100,0)</f>
        <v>0.52</v>
      </c>
      <c r="H47" s="17" t="n">
        <f aca="false">IFERROR(VLOOKUP(C47,_Listas!$C$2:$H$80,5,0)*D47/100,0)</f>
        <v>4.58</v>
      </c>
      <c r="I47" s="18" t="s">
        <v>104</v>
      </c>
    </row>
    <row r="48" customFormat="false" ht="19.5" hidden="false" customHeight="true" outlineLevel="0" collapsed="false">
      <c r="B48" s="57"/>
      <c r="C48" s="12" t="s">
        <v>35</v>
      </c>
      <c r="D48" s="13" t="n">
        <v>80</v>
      </c>
      <c r="E48" s="55" t="n">
        <f aca="false">IFERROR(VLOOKUP(C48,_Listas!$C$2:$H$80,2,0)*D48/100,0)</f>
        <v>130.4</v>
      </c>
      <c r="F48" s="55" t="n">
        <f aca="false">IFERROR(VLOOKUP(C48,_Listas!$C$2:$H$80,3,0)*D48/100,0)</f>
        <v>25.2</v>
      </c>
      <c r="G48" s="55" t="n">
        <f aca="false">IFERROR(VLOOKUP(C48,_Listas!$C$2:$H$80,4,0)*D48/100,0)</f>
        <v>0</v>
      </c>
      <c r="H48" s="55" t="n">
        <f aca="false">IFERROR(VLOOKUP(C48,_Listas!$C$2:$H$80,5,0)*D48/100,0)</f>
        <v>2.96</v>
      </c>
      <c r="I48" s="56" t="s">
        <v>132</v>
      </c>
    </row>
    <row r="49" customFormat="false" ht="3.75" hidden="false" customHeight="true" outlineLevel="0" collapsed="false"/>
    <row r="50" customFormat="false" ht="31.5" hidden="false" customHeight="true" outlineLevel="0" collapsed="false">
      <c r="B50" s="58" t="s">
        <v>133</v>
      </c>
      <c r="C50" s="58"/>
      <c r="D50" s="59" t="n">
        <f aca="false">SUM(D9:D14,D18:D18,D22:D26,D30:D33,D37:D40)</f>
        <v>2351</v>
      </c>
      <c r="E50" s="59" t="n">
        <f aca="false">SUM(E9:E14,E18:E18,E22:E26,E30:E33,E37:E40)</f>
        <v>2025.4</v>
      </c>
      <c r="F50" s="59" t="n">
        <f aca="false">SUM(F9:F14,F18:F18,F22:F26,F30:F33,F37:F40)</f>
        <v>149.71</v>
      </c>
      <c r="G50" s="59" t="n">
        <f aca="false">SUM(G9:G14,G18:G18,G22:G26,G30:G33,G37:G40)</f>
        <v>261.705</v>
      </c>
      <c r="H50" s="59" t="n">
        <f aca="false">SUM(H9:H14,H18:H18,H22:H26,H30:H33,H37:H40)</f>
        <v>42.03</v>
      </c>
      <c r="I50" s="60"/>
    </row>
    <row r="51" customFormat="false" ht="21.75" hidden="false" customHeight="true" outlineLevel="0" collapsed="false">
      <c r="B51" s="61" t="s">
        <v>134</v>
      </c>
      <c r="C51" s="61"/>
      <c r="D51" s="62" t="str">
        <f aca="false">IF(E50&lt;C4*0.9,"⚠️ Abaixo da meta",IF(E50&lt;=C4,"✅ Na meta",IF(E50&lt;=C4*1.1,"🟡 Ligeiramente acima","🔴 Acima da meta")))</f>
        <v>🟡 Ligeiramente acima</v>
      </c>
      <c r="E51" s="62"/>
      <c r="F51" s="62"/>
      <c r="G51" s="62"/>
      <c r="H51" s="62"/>
      <c r="I51" s="62"/>
    </row>
    <row r="53" customFormat="false" ht="25.5" hidden="false" customHeight="true" outlineLevel="0" collapsed="false">
      <c r="B53" s="63" t="s">
        <v>135</v>
      </c>
      <c r="C53" s="63"/>
      <c r="D53" s="63"/>
      <c r="E53" s="63"/>
      <c r="F53" s="63"/>
      <c r="G53" s="63"/>
      <c r="H53" s="63"/>
      <c r="I53" s="63"/>
    </row>
    <row r="54" customFormat="false" ht="31.5" hidden="false" customHeight="true" outlineLevel="0" collapsed="false">
      <c r="B54" s="64" t="s">
        <v>136</v>
      </c>
      <c r="C54" s="7" t="s">
        <v>94</v>
      </c>
      <c r="D54" s="7" t="s">
        <v>137</v>
      </c>
      <c r="E54" s="6" t="s">
        <v>138</v>
      </c>
      <c r="F54" s="8" t="s">
        <v>139</v>
      </c>
      <c r="G54" s="9" t="s">
        <v>140</v>
      </c>
      <c r="H54" s="64" t="s">
        <v>141</v>
      </c>
      <c r="I54" s="65"/>
    </row>
    <row r="55" customFormat="false" ht="19.5" hidden="false" customHeight="true" outlineLevel="0" collapsed="false">
      <c r="B55" s="66" t="s">
        <v>100</v>
      </c>
      <c r="C55" s="67" t="n">
        <f aca="false">SUM(E9:E14)</f>
        <v>342.2</v>
      </c>
      <c r="D55" s="68" t="n">
        <f aca="false">IFERROR(C55/E50,0)</f>
        <v>0.168954280635924</v>
      </c>
      <c r="E55" s="69" t="n">
        <f aca="false">SUM(F9:F14)</f>
        <v>10.96</v>
      </c>
      <c r="F55" s="69" t="n">
        <f aca="false">SUM(G9:G14)</f>
        <v>52.865</v>
      </c>
      <c r="G55" s="69" t="n">
        <f aca="false">SUM(H9:H14)</f>
        <v>9.81</v>
      </c>
      <c r="H55" s="70" t="s">
        <v>142</v>
      </c>
      <c r="I55" s="71"/>
    </row>
    <row r="56" customFormat="false" ht="19.5" hidden="false" customHeight="true" outlineLevel="0" collapsed="false">
      <c r="B56" s="72" t="s">
        <v>109</v>
      </c>
      <c r="C56" s="73" t="n">
        <f aca="false">SUM(E18:E18)</f>
        <v>201</v>
      </c>
      <c r="D56" s="74" t="n">
        <f aca="false">IFERROR(C56/E50,0)</f>
        <v>0.099239656364175</v>
      </c>
      <c r="E56" s="75" t="n">
        <f aca="false">SUM(F18:F18)</f>
        <v>20.1</v>
      </c>
      <c r="F56" s="75" t="n">
        <f aca="false">SUM(G18:G18)</f>
        <v>30</v>
      </c>
      <c r="G56" s="75" t="n">
        <f aca="false">SUM(H18:H18)</f>
        <v>0</v>
      </c>
      <c r="H56" s="76" t="s">
        <v>143</v>
      </c>
      <c r="I56" s="77"/>
    </row>
    <row r="57" customFormat="false" ht="19.5" hidden="false" customHeight="true" outlineLevel="0" collapsed="false">
      <c r="B57" s="78" t="s">
        <v>112</v>
      </c>
      <c r="C57" s="79" t="n">
        <f aca="false">SUM(E22:E26)</f>
        <v>629.9</v>
      </c>
      <c r="D57" s="80" t="n">
        <f aca="false">IFERROR(C57/E50,0)</f>
        <v>0.31100029623778</v>
      </c>
      <c r="E57" s="81" t="n">
        <f aca="false">SUM(F22:F26)</f>
        <v>42.4</v>
      </c>
      <c r="F57" s="81" t="n">
        <f aca="false">SUM(G22:G26)</f>
        <v>65.82</v>
      </c>
      <c r="G57" s="81" t="n">
        <f aca="false">SUM(H22:H26)</f>
        <v>22.15</v>
      </c>
      <c r="H57" s="82" t="s">
        <v>144</v>
      </c>
      <c r="I57" s="83"/>
    </row>
    <row r="58" customFormat="false" ht="19.5" hidden="false" customHeight="true" outlineLevel="0" collapsed="false">
      <c r="B58" s="84" t="s">
        <v>119</v>
      </c>
      <c r="C58" s="73" t="n">
        <f aca="false">SUM(E30:E33)</f>
        <v>309</v>
      </c>
      <c r="D58" s="74" t="n">
        <f aca="false">IFERROR(C58/E50,0)</f>
        <v>0.152562456798657</v>
      </c>
      <c r="E58" s="75" t="n">
        <f aca="false">SUM(F30:F33)</f>
        <v>22.2</v>
      </c>
      <c r="F58" s="75" t="n">
        <f aca="false">SUM(G30:G33)</f>
        <v>46.26</v>
      </c>
      <c r="G58" s="75" t="n">
        <f aca="false">SUM(H30:H33)</f>
        <v>3.86</v>
      </c>
      <c r="H58" s="76" t="s">
        <v>145</v>
      </c>
      <c r="I58" s="77"/>
    </row>
    <row r="59" customFormat="false" ht="19.5" hidden="false" customHeight="true" outlineLevel="0" collapsed="false">
      <c r="B59" s="85" t="s">
        <v>123</v>
      </c>
      <c r="C59" s="86" t="n">
        <f aca="false">SUM(E37:E40)</f>
        <v>543.3</v>
      </c>
      <c r="D59" s="87" t="n">
        <f aca="false">IFERROR(C59/E50,0)</f>
        <v>0.268243309963464</v>
      </c>
      <c r="E59" s="88" t="n">
        <f aca="false">SUM(F37:F40)</f>
        <v>54.05</v>
      </c>
      <c r="F59" s="88" t="n">
        <f aca="false">SUM(G37:G40)</f>
        <v>66.76</v>
      </c>
      <c r="G59" s="88" t="n">
        <f aca="false">SUM(H37:H40)</f>
        <v>6.21</v>
      </c>
      <c r="H59" s="89" t="s">
        <v>146</v>
      </c>
      <c r="I59" s="90"/>
    </row>
  </sheetData>
  <mergeCells count="17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4:C34"/>
    <mergeCell ref="B36:I36"/>
    <mergeCell ref="B41:C41"/>
    <mergeCell ref="B43:I43"/>
    <mergeCell ref="B50:C50"/>
    <mergeCell ref="B51:C51"/>
    <mergeCell ref="D51:I51"/>
    <mergeCell ref="B53:I5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3 C37:C40 C44:C48" type="list">
      <formula1>_Listas!$A$2:$A$80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1" t="s">
        <v>166</v>
      </c>
      <c r="C2" s="91"/>
      <c r="D2" s="91"/>
      <c r="E2" s="91"/>
      <c r="F2" s="91"/>
      <c r="G2" s="91"/>
      <c r="H2" s="91"/>
      <c r="I2" s="91"/>
    </row>
    <row r="3" customFormat="false" ht="15.75" hidden="false" customHeight="true" outlineLevel="0" collapsed="false">
      <c r="B3" s="2" t="s">
        <v>86</v>
      </c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B4" s="3" t="s">
        <v>87</v>
      </c>
      <c r="C4" s="4" t="n">
        <v>2000</v>
      </c>
      <c r="D4" s="3" t="s">
        <v>88</v>
      </c>
      <c r="E4" s="4" t="n">
        <v>70</v>
      </c>
      <c r="F4" s="3" t="s">
        <v>89</v>
      </c>
      <c r="G4" s="4" t="s">
        <v>90</v>
      </c>
    </row>
    <row r="5" customFormat="false" ht="6" hidden="false" customHeight="true" outlineLevel="0" collapsed="false"/>
    <row r="6" customFormat="false" ht="39.75" hidden="false" customHeight="true" outlineLevel="0" collapsed="false">
      <c r="B6" s="5" t="s">
        <v>91</v>
      </c>
      <c r="C6" s="5" t="s">
        <v>92</v>
      </c>
      <c r="D6" s="6" t="s">
        <v>93</v>
      </c>
      <c r="E6" s="7" t="s">
        <v>94</v>
      </c>
      <c r="F6" s="6" t="s">
        <v>95</v>
      </c>
      <c r="G6" s="8" t="s">
        <v>96</v>
      </c>
      <c r="H6" s="9" t="s">
        <v>97</v>
      </c>
      <c r="I6" s="5" t="s">
        <v>98</v>
      </c>
    </row>
    <row r="7" customFormat="false" ht="4.5" hidden="false" customHeight="true" outlineLevel="0" collapsed="false"/>
    <row r="8" customFormat="false" ht="24" hidden="false" customHeight="true" outlineLevel="0" collapsed="false">
      <c r="B8" s="10" t="s">
        <v>99</v>
      </c>
      <c r="C8" s="10"/>
      <c r="D8" s="10"/>
      <c r="E8" s="10"/>
      <c r="F8" s="10"/>
      <c r="G8" s="10"/>
      <c r="H8" s="10"/>
      <c r="I8" s="10"/>
    </row>
    <row r="9" customFormat="false" ht="19.5" hidden="false" customHeight="true" outlineLevel="0" collapsed="false">
      <c r="B9" s="11" t="s">
        <v>100</v>
      </c>
      <c r="C9" s="12" t="s">
        <v>23</v>
      </c>
      <c r="D9" s="13" t="n">
        <v>200</v>
      </c>
      <c r="E9" s="14" t="n">
        <f aca="false">IFERROR(VLOOKUP(C9,_Listas!$C$2:$H$80,2,0)*D9/100,0)</f>
        <v>4</v>
      </c>
      <c r="F9" s="14" t="n">
        <f aca="false">IFERROR(VLOOKUP(C9,_Listas!$C$2:$H$80,3,0)*D9/100,0)</f>
        <v>0.6</v>
      </c>
      <c r="G9" s="14" t="n">
        <f aca="false">IFERROR(VLOOKUP(C9,_Listas!$C$2:$H$80,4,0)*D9/100,0)</f>
        <v>0</v>
      </c>
      <c r="H9" s="14" t="n">
        <f aca="false">IFERROR(VLOOKUP(C9,_Listas!$C$2:$H$80,5,0)*D9/100,0)</f>
        <v>0</v>
      </c>
      <c r="I9" s="15" t="s">
        <v>101</v>
      </c>
    </row>
    <row r="10" customFormat="false" ht="19.5" hidden="false" customHeight="true" outlineLevel="0" collapsed="false">
      <c r="B10" s="16"/>
      <c r="C10" s="12" t="s">
        <v>69</v>
      </c>
      <c r="D10" s="13" t="n">
        <v>60</v>
      </c>
      <c r="E10" s="17" t="n">
        <f aca="false">IFERROR(VLOOKUP(C10,_Listas!$C$2:$H$80,2,0)*D10/100,0)</f>
        <v>180</v>
      </c>
      <c r="F10" s="17" t="n">
        <f aca="false">IFERROR(VLOOKUP(C10,_Listas!$C$2:$H$80,3,0)*D10/100,0)</f>
        <v>4.8</v>
      </c>
      <c r="G10" s="17" t="n">
        <f aca="false">IFERROR(VLOOKUP(C10,_Listas!$C$2:$H$80,4,0)*D10/100,0)</f>
        <v>35.16</v>
      </c>
      <c r="H10" s="17" t="n">
        <f aca="false">IFERROR(VLOOKUP(C10,_Listas!$C$2:$H$80,5,0)*D10/100,0)</f>
        <v>1.86</v>
      </c>
      <c r="I10" s="18" t="s">
        <v>102</v>
      </c>
    </row>
    <row r="11" customFormat="false" ht="19.5" hidden="false" customHeight="true" outlineLevel="0" collapsed="false">
      <c r="B11" s="16"/>
      <c r="C11" s="12" t="s">
        <v>73</v>
      </c>
      <c r="D11" s="13" t="n">
        <v>15</v>
      </c>
      <c r="E11" s="14" t="n">
        <f aca="false">IFERROR(VLOOKUP(C11,_Listas!$C$2:$H$80,2,0)*D11/100,0)</f>
        <v>36</v>
      </c>
      <c r="F11" s="14" t="n">
        <f aca="false">IFERROR(VLOOKUP(C11,_Listas!$C$2:$H$80,3,0)*D11/100,0)</f>
        <v>1.05</v>
      </c>
      <c r="G11" s="14" t="n">
        <f aca="false">IFERROR(VLOOKUP(C11,_Listas!$C$2:$H$80,4,0)*D11/100,0)</f>
        <v>0.525</v>
      </c>
      <c r="H11" s="14" t="n">
        <f aca="false">IFERROR(VLOOKUP(C11,_Listas!$C$2:$H$80,5,0)*D11/100,0)</f>
        <v>3.3</v>
      </c>
      <c r="I11" s="15" t="s">
        <v>103</v>
      </c>
    </row>
    <row r="12" customFormat="false" ht="19.5" hidden="false" customHeight="true" outlineLevel="0" collapsed="false">
      <c r="B12" s="16"/>
      <c r="C12" s="12" t="s">
        <v>72</v>
      </c>
      <c r="D12" s="13" t="n">
        <v>20</v>
      </c>
      <c r="E12" s="17" t="n">
        <f aca="false">IFERROR(VLOOKUP(C12,_Listas!$C$2:$H$80,2,0)*D12/100,0)</f>
        <v>57.8</v>
      </c>
      <c r="F12" s="17" t="n">
        <f aca="false">IFERROR(VLOOKUP(C12,_Listas!$C$2:$H$80,3,0)*D12/100,0)</f>
        <v>3.6</v>
      </c>
      <c r="G12" s="17" t="n">
        <f aca="false">IFERROR(VLOOKUP(C12,_Listas!$C$2:$H$80,4,0)*D12/100,0)</f>
        <v>0.52</v>
      </c>
      <c r="H12" s="17" t="n">
        <f aca="false">IFERROR(VLOOKUP(C12,_Listas!$C$2:$H$80,5,0)*D12/100,0)</f>
        <v>4.58</v>
      </c>
      <c r="I12" s="18" t="s">
        <v>104</v>
      </c>
    </row>
    <row r="13" customFormat="false" ht="19.5" hidden="false" customHeight="true" outlineLevel="0" collapsed="false">
      <c r="B13" s="16"/>
      <c r="C13" s="12" t="s">
        <v>60</v>
      </c>
      <c r="D13" s="13" t="n">
        <v>15</v>
      </c>
      <c r="E13" s="14" t="n">
        <f aca="false">IFERROR(VLOOKUP(C13,_Listas!$C$2:$H$80,2,0)*D13/100,0)</f>
        <v>16.35</v>
      </c>
      <c r="F13" s="14" t="n">
        <f aca="false">IFERROR(VLOOKUP(C13,_Listas!$C$2:$H$80,3,0)*D13/100,0)</f>
        <v>2.61</v>
      </c>
      <c r="G13" s="14" t="n">
        <f aca="false">IFERROR(VLOOKUP(C13,_Listas!$C$2:$H$80,4,0)*D13/100,0)</f>
        <v>0.285</v>
      </c>
      <c r="H13" s="14" t="n">
        <f aca="false">IFERROR(VLOOKUP(C13,_Listas!$C$2:$H$80,5,0)*D13/100,0)</f>
        <v>0.54</v>
      </c>
      <c r="I13" s="15" t="s">
        <v>104</v>
      </c>
    </row>
    <row r="14" customFormat="false" ht="19.5" hidden="false" customHeight="true" outlineLevel="0" collapsed="false">
      <c r="B14" s="16"/>
      <c r="C14" s="12" t="s">
        <v>48</v>
      </c>
      <c r="D14" s="13" t="n">
        <v>120</v>
      </c>
      <c r="E14" s="17" t="n">
        <f aca="false">IFERROR(VLOOKUP(C14,_Listas!$C$2:$H$80,2,0)*D14/100,0)</f>
        <v>67.2</v>
      </c>
      <c r="F14" s="17" t="n">
        <f aca="false">IFERROR(VLOOKUP(C14,_Listas!$C$2:$H$80,3,0)*D14/100,0)</f>
        <v>0.36</v>
      </c>
      <c r="G14" s="17" t="n">
        <f aca="false">IFERROR(VLOOKUP(C14,_Listas!$C$2:$H$80,4,0)*D14/100,0)</f>
        <v>17.88</v>
      </c>
      <c r="H14" s="17" t="n">
        <f aca="false">IFERROR(VLOOKUP(C14,_Listas!$C$2:$H$80,5,0)*D14/100,0)</f>
        <v>0.12</v>
      </c>
      <c r="I14" s="18" t="s">
        <v>113</v>
      </c>
    </row>
    <row r="15" customFormat="false" ht="19.5" hidden="false" customHeight="true" outlineLevel="0" collapsed="false">
      <c r="B15" s="16"/>
      <c r="C15" s="12" t="s">
        <v>32</v>
      </c>
      <c r="D15" s="13" t="n">
        <v>6</v>
      </c>
      <c r="E15" s="14" t="n">
        <f aca="false">IFERROR(VLOOKUP(C15,_Listas!$C$2:$H$80,2,0)*D15/100,0)</f>
        <v>0</v>
      </c>
      <c r="F15" s="14" t="n">
        <f aca="false">IFERROR(VLOOKUP(C15,_Listas!$C$2:$H$80,3,0)*D15/100,0)</f>
        <v>0</v>
      </c>
      <c r="G15" s="14" t="n">
        <f aca="false">IFERROR(VLOOKUP(C15,_Listas!$C$2:$H$80,4,0)*D15/100,0)</f>
        <v>0</v>
      </c>
      <c r="H15" s="14" t="n">
        <f aca="false">IFERROR(VLOOKUP(C15,_Listas!$C$2:$H$80,5,0)*D15/100,0)</f>
        <v>0</v>
      </c>
      <c r="I15" s="15" t="s">
        <v>106</v>
      </c>
    </row>
    <row r="16" customFormat="false" ht="18" hidden="false" customHeight="true" outlineLevel="0" collapsed="false">
      <c r="B16" s="19" t="s">
        <v>107</v>
      </c>
      <c r="C16" s="19"/>
      <c r="D16" s="20" t="n">
        <f aca="false">SUM(D9:D15)</f>
        <v>436</v>
      </c>
      <c r="E16" s="20" t="n">
        <f aca="false">SUM(E9:E15)</f>
        <v>361.35</v>
      </c>
      <c r="F16" s="20" t="n">
        <f aca="false">SUM(F9:F15)</f>
        <v>13.02</v>
      </c>
      <c r="G16" s="20" t="n">
        <f aca="false">SUM(G9:G15)</f>
        <v>54.37</v>
      </c>
      <c r="H16" s="20" t="n">
        <f aca="false">SUM(H9:H15)</f>
        <v>10.4</v>
      </c>
      <c r="I16" s="21"/>
    </row>
    <row r="17" customFormat="false" ht="3.75" hidden="false" customHeight="true" outlineLevel="0" collapsed="false"/>
    <row r="18" customFormat="false" ht="24" hidden="false" customHeight="true" outlineLevel="0" collapsed="false">
      <c r="B18" s="22" t="s">
        <v>108</v>
      </c>
      <c r="C18" s="22"/>
      <c r="D18" s="22"/>
      <c r="E18" s="22"/>
      <c r="F18" s="22"/>
      <c r="G18" s="22"/>
      <c r="H18" s="22"/>
      <c r="I18" s="22"/>
    </row>
    <row r="19" customFormat="false" ht="19.5" hidden="false" customHeight="true" outlineLevel="0" collapsed="false">
      <c r="B19" s="23" t="s">
        <v>109</v>
      </c>
      <c r="C19" s="12" t="s">
        <v>84</v>
      </c>
      <c r="D19" s="13" t="n">
        <v>300</v>
      </c>
      <c r="E19" s="24" t="n">
        <f aca="false">IFERROR(VLOOKUP(C19,_Listas!$C$2:$H$80,2,0)*D19/100,0)</f>
        <v>201</v>
      </c>
      <c r="F19" s="24" t="n">
        <f aca="false">IFERROR(VLOOKUP(C19,_Listas!$C$2:$H$80,3,0)*D19/100,0)</f>
        <v>20.1</v>
      </c>
      <c r="G19" s="24" t="n">
        <f aca="false">IFERROR(VLOOKUP(C19,_Listas!$C$2:$H$80,4,0)*D19/100,0)</f>
        <v>30</v>
      </c>
      <c r="H19" s="24" t="n">
        <f aca="false">IFERROR(VLOOKUP(C19,_Listas!$C$2:$H$80,5,0)*D19/100,0)</f>
        <v>0</v>
      </c>
      <c r="I19" s="25" t="s">
        <v>102</v>
      </c>
    </row>
    <row r="20" customFormat="false" ht="18" hidden="false" customHeight="true" outlineLevel="0" collapsed="false">
      <c r="B20" s="26" t="s">
        <v>110</v>
      </c>
      <c r="C20" s="26"/>
      <c r="D20" s="27" t="n">
        <f aca="false">SUM(D19:D19)</f>
        <v>300</v>
      </c>
      <c r="E20" s="27" t="n">
        <f aca="false">SUM(E19:E19)</f>
        <v>201</v>
      </c>
      <c r="F20" s="27" t="n">
        <f aca="false">SUM(F19:F19)</f>
        <v>20.1</v>
      </c>
      <c r="G20" s="27" t="n">
        <f aca="false">SUM(G19:G19)</f>
        <v>30</v>
      </c>
      <c r="H20" s="27" t="n">
        <f aca="false">SUM(H19:H19)</f>
        <v>0</v>
      </c>
      <c r="I20" s="28"/>
    </row>
    <row r="21" customFormat="false" ht="3.75" hidden="false" customHeight="true" outlineLevel="0" collapsed="false"/>
    <row r="22" customFormat="false" ht="24" hidden="false" customHeight="true" outlineLevel="0" collapsed="false">
      <c r="B22" s="29" t="s">
        <v>111</v>
      </c>
      <c r="C22" s="29"/>
      <c r="D22" s="29"/>
      <c r="E22" s="29"/>
      <c r="F22" s="29"/>
      <c r="G22" s="29"/>
      <c r="H22" s="29"/>
      <c r="I22" s="29"/>
    </row>
    <row r="23" customFormat="false" ht="19.5" hidden="false" customHeight="true" outlineLevel="0" collapsed="false">
      <c r="B23" s="30" t="s">
        <v>112</v>
      </c>
      <c r="C23" s="12" t="s">
        <v>13</v>
      </c>
      <c r="D23" s="13" t="n">
        <v>140</v>
      </c>
      <c r="E23" s="31" t="n">
        <f aca="false">IFERROR(VLOOKUP(C23,_Listas!$C$2:$H$80,2,0)*D23/100,0)</f>
        <v>179.2</v>
      </c>
      <c r="F23" s="31" t="n">
        <f aca="false">IFERROR(VLOOKUP(C23,_Listas!$C$2:$H$80,3,0)*D23/100,0)</f>
        <v>3.5</v>
      </c>
      <c r="G23" s="31" t="n">
        <f aca="false">IFERROR(VLOOKUP(C23,_Listas!$C$2:$H$80,4,0)*D23/100,0)</f>
        <v>39.34</v>
      </c>
      <c r="H23" s="31" t="n">
        <f aca="false">IFERROR(VLOOKUP(C23,_Listas!$C$2:$H$80,5,0)*D23/100,0)</f>
        <v>0.28</v>
      </c>
      <c r="I23" s="32" t="s">
        <v>124</v>
      </c>
    </row>
    <row r="24" customFormat="false" ht="19.5" hidden="false" customHeight="true" outlineLevel="0" collapsed="false">
      <c r="B24" s="33"/>
      <c r="C24" s="12" t="s">
        <v>57</v>
      </c>
      <c r="D24" s="13" t="n">
        <v>20</v>
      </c>
      <c r="E24" s="17" t="n">
        <f aca="false">IFERROR(VLOOKUP(C24,_Listas!$C$2:$H$80,2,0)*D24/100,0)</f>
        <v>34</v>
      </c>
      <c r="F24" s="17" t="n">
        <f aca="false">IFERROR(VLOOKUP(C24,_Listas!$C$2:$H$80,3,0)*D24/100,0)</f>
        <v>1.6</v>
      </c>
      <c r="G24" s="17" t="n">
        <f aca="false">IFERROR(VLOOKUP(C24,_Listas!$C$2:$H$80,4,0)*D24/100,0)</f>
        <v>1</v>
      </c>
      <c r="H24" s="17" t="n">
        <f aca="false">IFERROR(VLOOKUP(C24,_Listas!$C$2:$H$80,5,0)*D24/100,0)</f>
        <v>2.6</v>
      </c>
      <c r="I24" s="18" t="s">
        <v>103</v>
      </c>
    </row>
    <row r="25" customFormat="false" ht="19.5" hidden="false" customHeight="true" outlineLevel="0" collapsed="false">
      <c r="B25" s="33"/>
      <c r="C25" s="12" t="s">
        <v>73</v>
      </c>
      <c r="D25" s="13" t="n">
        <v>40</v>
      </c>
      <c r="E25" s="31" t="n">
        <f aca="false">IFERROR(VLOOKUP(C25,_Listas!$C$2:$H$80,2,0)*D25/100,0)</f>
        <v>96</v>
      </c>
      <c r="F25" s="31" t="n">
        <f aca="false">IFERROR(VLOOKUP(C25,_Listas!$C$2:$H$80,3,0)*D25/100,0)</f>
        <v>2.8</v>
      </c>
      <c r="G25" s="31" t="n">
        <f aca="false">IFERROR(VLOOKUP(C25,_Listas!$C$2:$H$80,4,0)*D25/100,0)</f>
        <v>1.4</v>
      </c>
      <c r="H25" s="31" t="n">
        <f aca="false">IFERROR(VLOOKUP(C25,_Listas!$C$2:$H$80,5,0)*D25/100,0)</f>
        <v>8.8</v>
      </c>
      <c r="I25" s="32" t="s">
        <v>148</v>
      </c>
    </row>
    <row r="26" customFormat="false" ht="19.5" hidden="false" customHeight="true" outlineLevel="0" collapsed="false">
      <c r="B26" s="33"/>
      <c r="C26" s="12" t="s">
        <v>35</v>
      </c>
      <c r="D26" s="13" t="n">
        <v>170</v>
      </c>
      <c r="E26" s="17" t="n">
        <f aca="false">IFERROR(VLOOKUP(C26,_Listas!$C$2:$H$80,2,0)*D26/100,0)</f>
        <v>277.1</v>
      </c>
      <c r="F26" s="17" t="n">
        <f aca="false">IFERROR(VLOOKUP(C26,_Listas!$C$2:$H$80,3,0)*D26/100,0)</f>
        <v>53.55</v>
      </c>
      <c r="G26" s="17" t="n">
        <f aca="false">IFERROR(VLOOKUP(C26,_Listas!$C$2:$H$80,4,0)*D26/100,0)</f>
        <v>0</v>
      </c>
      <c r="H26" s="17" t="n">
        <f aca="false">IFERROR(VLOOKUP(C26,_Listas!$C$2:$H$80,5,0)*D26/100,0)</f>
        <v>6.29</v>
      </c>
      <c r="I26" s="18" t="s">
        <v>149</v>
      </c>
    </row>
    <row r="27" customFormat="false" ht="19.5" hidden="false" customHeight="true" outlineLevel="0" collapsed="false">
      <c r="B27" s="33"/>
      <c r="C27" s="12" t="s">
        <v>39</v>
      </c>
      <c r="D27" s="13" t="n">
        <v>150</v>
      </c>
      <c r="E27" s="31" t="n">
        <f aca="false">IFERROR(VLOOKUP(C27,_Listas!$C$2:$H$80,2,0)*D27/100,0)</f>
        <v>69</v>
      </c>
      <c r="F27" s="31" t="n">
        <f aca="false">IFERROR(VLOOKUP(C27,_Listas!$C$2:$H$80,3,0)*D27/100,0)</f>
        <v>1.35</v>
      </c>
      <c r="G27" s="31" t="n">
        <f aca="false">IFERROR(VLOOKUP(C27,_Listas!$C$2:$H$80,4,0)*D27/100,0)</f>
        <v>17.25</v>
      </c>
      <c r="H27" s="31" t="n">
        <f aca="false">IFERROR(VLOOKUP(C27,_Listas!$C$2:$H$80,5,0)*D27/100,0)</f>
        <v>0.15</v>
      </c>
      <c r="I27" s="32" t="s">
        <v>150</v>
      </c>
    </row>
    <row r="28" customFormat="false" ht="18" hidden="false" customHeight="true" outlineLevel="0" collapsed="false">
      <c r="B28" s="34" t="s">
        <v>117</v>
      </c>
      <c r="C28" s="34"/>
      <c r="D28" s="35" t="n">
        <f aca="false">SUM(D23:D27)</f>
        <v>520</v>
      </c>
      <c r="E28" s="35" t="n">
        <f aca="false">SUM(E23:E27)</f>
        <v>655.3</v>
      </c>
      <c r="F28" s="35" t="n">
        <f aca="false">SUM(F23:F27)</f>
        <v>62.8</v>
      </c>
      <c r="G28" s="35" t="n">
        <f aca="false">SUM(G23:G27)</f>
        <v>58.99</v>
      </c>
      <c r="H28" s="35" t="n">
        <f aca="false">SUM(H23:H27)</f>
        <v>18.12</v>
      </c>
      <c r="I28" s="36"/>
    </row>
    <row r="29" customFormat="false" ht="3.75" hidden="false" customHeight="true" outlineLevel="0" collapsed="false"/>
    <row r="30" customFormat="false" ht="19.5" hidden="false" customHeight="true" outlineLevel="0" collapsed="false">
      <c r="B30" s="53" t="s">
        <v>151</v>
      </c>
      <c r="C30" s="53"/>
      <c r="D30" s="53"/>
      <c r="E30" s="53"/>
      <c r="F30" s="53"/>
      <c r="G30" s="53"/>
      <c r="H30" s="53"/>
      <c r="I30" s="53"/>
    </row>
    <row r="31" customFormat="false" ht="19.5" hidden="false" customHeight="true" outlineLevel="0" collapsed="false">
      <c r="B31" s="54" t="s">
        <v>152</v>
      </c>
      <c r="C31" s="12" t="s">
        <v>67</v>
      </c>
      <c r="D31" s="13" t="n">
        <v>150</v>
      </c>
      <c r="E31" s="55" t="n">
        <f aca="false">IFERROR(VLOOKUP(C31,_Listas!$C$2:$H$80,2,0)*D31/100,0)</f>
        <v>153</v>
      </c>
      <c r="F31" s="55" t="n">
        <f aca="false">IFERROR(VLOOKUP(C31,_Listas!$C$2:$H$80,3,0)*D31/100,0)</f>
        <v>3.75</v>
      </c>
      <c r="G31" s="55" t="n">
        <f aca="false">IFERROR(VLOOKUP(C31,_Listas!$C$2:$H$80,4,0)*D31/100,0)</f>
        <v>25.5</v>
      </c>
      <c r="H31" s="55" t="n">
        <f aca="false">IFERROR(VLOOKUP(C31,_Listas!$C$2:$H$80,5,0)*D31/100,0)</f>
        <v>4.5</v>
      </c>
      <c r="I31" s="56" t="s">
        <v>115</v>
      </c>
    </row>
    <row r="32" customFormat="false" ht="19.5" hidden="false" customHeight="true" outlineLevel="0" collapsed="false">
      <c r="B32" s="57"/>
      <c r="C32" s="12" t="s">
        <v>53</v>
      </c>
      <c r="D32" s="13" t="n">
        <v>100</v>
      </c>
      <c r="E32" s="17" t="n">
        <f aca="false">IFERROR(VLOOKUP(C32,_Listas!$C$2:$H$80,2,0)*D32/100,0)</f>
        <v>26</v>
      </c>
      <c r="F32" s="17" t="n">
        <f aca="false">IFERROR(VLOOKUP(C32,_Listas!$C$2:$H$80,3,0)*D32/100,0)</f>
        <v>0.7</v>
      </c>
      <c r="G32" s="17" t="n">
        <f aca="false">IFERROR(VLOOKUP(C32,_Listas!$C$2:$H$80,4,0)*D32/100,0)</f>
        <v>6</v>
      </c>
      <c r="H32" s="17" t="n">
        <f aca="false">IFERROR(VLOOKUP(C32,_Listas!$C$2:$H$80,5,0)*D32/100,0)</f>
        <v>0.1</v>
      </c>
      <c r="I32" s="18" t="s">
        <v>115</v>
      </c>
    </row>
    <row r="33" customFormat="false" ht="19.5" hidden="false" customHeight="true" outlineLevel="0" collapsed="false">
      <c r="B33" s="57"/>
      <c r="C33" s="12" t="s">
        <v>62</v>
      </c>
      <c r="D33" s="13" t="n">
        <v>200</v>
      </c>
      <c r="E33" s="55" t="n">
        <f aca="false">IFERROR(VLOOKUP(C33,_Listas!$C$2:$H$80,2,0)*D33/100,0)</f>
        <v>256</v>
      </c>
      <c r="F33" s="55" t="n">
        <f aca="false">IFERROR(VLOOKUP(C33,_Listas!$C$2:$H$80,3,0)*D33/100,0)</f>
        <v>50</v>
      </c>
      <c r="G33" s="55" t="n">
        <f aca="false">IFERROR(VLOOKUP(C33,_Listas!$C$2:$H$80,4,0)*D33/100,0)</f>
        <v>0</v>
      </c>
      <c r="H33" s="55" t="n">
        <f aca="false">IFERROR(VLOOKUP(C33,_Listas!$C$2:$H$80,5,0)*D33/100,0)</f>
        <v>5.6</v>
      </c>
      <c r="I33" s="56" t="s">
        <v>153</v>
      </c>
    </row>
    <row r="34" customFormat="false" ht="19.5" hidden="false" customHeight="true" outlineLevel="0" collapsed="false">
      <c r="B34" s="57"/>
      <c r="C34" s="12" t="s">
        <v>40</v>
      </c>
      <c r="D34" s="13" t="n">
        <v>120</v>
      </c>
      <c r="E34" s="17" t="n">
        <f aca="false">IFERROR(VLOOKUP(C34,_Listas!$C$2:$H$80,2,0)*D34/100,0)</f>
        <v>42</v>
      </c>
      <c r="F34" s="17" t="n">
        <f aca="false">IFERROR(VLOOKUP(C34,_Listas!$C$2:$H$80,3,0)*D34/100,0)</f>
        <v>2.4</v>
      </c>
      <c r="G34" s="17" t="n">
        <f aca="false">IFERROR(VLOOKUP(C34,_Listas!$C$2:$H$80,4,0)*D34/100,0)</f>
        <v>7.8</v>
      </c>
      <c r="H34" s="17" t="n">
        <f aca="false">IFERROR(VLOOKUP(C34,_Listas!$C$2:$H$80,5,0)*D34/100,0)</f>
        <v>0.36</v>
      </c>
      <c r="I34" s="18" t="s">
        <v>154</v>
      </c>
    </row>
    <row r="35" customFormat="false" ht="19.5" hidden="false" customHeight="true" outlineLevel="0" collapsed="false">
      <c r="B35" s="57"/>
      <c r="C35" s="12" t="s">
        <v>22</v>
      </c>
      <c r="D35" s="13" t="n">
        <v>16</v>
      </c>
      <c r="E35" s="55" t="n">
        <f aca="false">IFERROR(VLOOKUP(C35,_Listas!$C$2:$H$80,2,0)*D35/100,0)</f>
        <v>83.2</v>
      </c>
      <c r="F35" s="55" t="n">
        <f aca="false">IFERROR(VLOOKUP(C35,_Listas!$C$2:$H$80,3,0)*D35/100,0)</f>
        <v>0.8</v>
      </c>
      <c r="G35" s="55" t="n">
        <f aca="false">IFERROR(VLOOKUP(C35,_Listas!$C$2:$H$80,4,0)*D35/100,0)</f>
        <v>9.6</v>
      </c>
      <c r="H35" s="55" t="n">
        <f aca="false">IFERROR(VLOOKUP(C35,_Listas!$C$2:$H$80,5,0)*D35/100,0)</f>
        <v>4.48</v>
      </c>
      <c r="I35" s="56" t="s">
        <v>102</v>
      </c>
    </row>
    <row r="36" customFormat="false" ht="3.75" hidden="false" customHeight="true" outlineLevel="0" collapsed="false"/>
    <row r="37" customFormat="false" ht="24" hidden="false" customHeight="true" outlineLevel="0" collapsed="false">
      <c r="B37" s="37" t="s">
        <v>118</v>
      </c>
      <c r="C37" s="37"/>
      <c r="D37" s="37"/>
      <c r="E37" s="37"/>
      <c r="F37" s="37"/>
      <c r="G37" s="37"/>
      <c r="H37" s="37"/>
      <c r="I37" s="37"/>
    </row>
    <row r="38" customFormat="false" ht="19.5" hidden="false" customHeight="true" outlineLevel="0" collapsed="false">
      <c r="B38" s="38" t="s">
        <v>119</v>
      </c>
      <c r="C38" s="12" t="s">
        <v>41</v>
      </c>
      <c r="D38" s="13" t="n">
        <v>200</v>
      </c>
      <c r="E38" s="39" t="n">
        <f aca="false">IFERROR(VLOOKUP(C38,_Listas!$C$2:$H$80,2,0)*D38/100,0)</f>
        <v>122</v>
      </c>
      <c r="F38" s="39" t="n">
        <f aca="false">IFERROR(VLOOKUP(C38,_Listas!$C$2:$H$80,3,0)*D38/100,0)</f>
        <v>6.4</v>
      </c>
      <c r="G38" s="39" t="n">
        <f aca="false">IFERROR(VLOOKUP(C38,_Listas!$C$2:$H$80,4,0)*D38/100,0)</f>
        <v>9.4</v>
      </c>
      <c r="H38" s="39" t="n">
        <f aca="false">IFERROR(VLOOKUP(C38,_Listas!$C$2:$H$80,5,0)*D38/100,0)</f>
        <v>6.4</v>
      </c>
      <c r="I38" s="40" t="s">
        <v>129</v>
      </c>
    </row>
    <row r="39" customFormat="false" ht="19.5" hidden="false" customHeight="true" outlineLevel="0" collapsed="false">
      <c r="B39" s="41"/>
      <c r="C39" s="12" t="s">
        <v>16</v>
      </c>
      <c r="D39" s="13" t="n">
        <v>60</v>
      </c>
      <c r="E39" s="17" t="n">
        <f aca="false">IFERROR(VLOOKUP(C39,_Listas!$C$2:$H$80,2,0)*D39/100,0)</f>
        <v>55.2</v>
      </c>
      <c r="F39" s="17" t="n">
        <f aca="false">IFERROR(VLOOKUP(C39,_Listas!$C$2:$H$80,3,0)*D39/100,0)</f>
        <v>0.78</v>
      </c>
      <c r="G39" s="17" t="n">
        <f aca="false">IFERROR(VLOOKUP(C39,_Listas!$C$2:$H$80,4,0)*D39/100,0)</f>
        <v>14.28</v>
      </c>
      <c r="H39" s="17" t="n">
        <f aca="false">IFERROR(VLOOKUP(C39,_Listas!$C$2:$H$80,5,0)*D39/100,0)</f>
        <v>0.06</v>
      </c>
      <c r="I39" s="18" t="s">
        <v>155</v>
      </c>
    </row>
    <row r="40" customFormat="false" ht="19.5" hidden="false" customHeight="true" outlineLevel="0" collapsed="false">
      <c r="B40" s="41"/>
      <c r="C40" s="12" t="s">
        <v>83</v>
      </c>
      <c r="D40" s="13" t="n">
        <v>60</v>
      </c>
      <c r="E40" s="39" t="n">
        <f aca="false">IFERROR(VLOOKUP(C40,_Listas!$C$2:$H$80,2,0)*D40/100,0)</f>
        <v>224.4</v>
      </c>
      <c r="F40" s="39" t="n">
        <f aca="false">IFERROR(VLOOKUP(C40,_Listas!$C$2:$H$80,3,0)*D40/100,0)</f>
        <v>48</v>
      </c>
      <c r="G40" s="39" t="n">
        <f aca="false">IFERROR(VLOOKUP(C40,_Listas!$C$2:$H$80,4,0)*D40/100,0)</f>
        <v>4.8</v>
      </c>
      <c r="H40" s="39" t="n">
        <f aca="false">IFERROR(VLOOKUP(C40,_Listas!$C$2:$H$80,5,0)*D40/100,0)</f>
        <v>2.4</v>
      </c>
      <c r="I40" s="40" t="s">
        <v>156</v>
      </c>
    </row>
    <row r="41" customFormat="false" ht="18" hidden="false" customHeight="true" outlineLevel="0" collapsed="false">
      <c r="B41" s="42" t="s">
        <v>121</v>
      </c>
      <c r="C41" s="42"/>
      <c r="D41" s="43" t="n">
        <f aca="false">SUM(D38:D40)</f>
        <v>320</v>
      </c>
      <c r="E41" s="43" t="n">
        <f aca="false">SUM(E38:E40)</f>
        <v>401.6</v>
      </c>
      <c r="F41" s="43" t="n">
        <f aca="false">SUM(F38:F40)</f>
        <v>55.18</v>
      </c>
      <c r="G41" s="43" t="n">
        <f aca="false">SUM(G38:G40)</f>
        <v>28.48</v>
      </c>
      <c r="H41" s="43" t="n">
        <f aca="false">SUM(H38:H40)</f>
        <v>8.86</v>
      </c>
      <c r="I41" s="44"/>
    </row>
    <row r="42" customFormat="false" ht="3.75" hidden="false" customHeight="true" outlineLevel="0" collapsed="false"/>
    <row r="43" customFormat="false" ht="24" hidden="false" customHeight="true" outlineLevel="0" collapsed="false">
      <c r="B43" s="45" t="s">
        <v>122</v>
      </c>
      <c r="C43" s="45"/>
      <c r="D43" s="45"/>
      <c r="E43" s="45"/>
      <c r="F43" s="45"/>
      <c r="G43" s="45"/>
      <c r="H43" s="45"/>
      <c r="I43" s="45"/>
    </row>
    <row r="44" customFormat="false" ht="19.5" hidden="false" customHeight="true" outlineLevel="0" collapsed="false">
      <c r="B44" s="46" t="s">
        <v>123</v>
      </c>
      <c r="C44" s="12" t="s">
        <v>31</v>
      </c>
      <c r="D44" s="13" t="n">
        <v>350</v>
      </c>
      <c r="E44" s="47" t="n">
        <f aca="false">IFERROR(VLOOKUP(C44,_Listas!$C$2:$H$80,2,0)*D44/100,0)</f>
        <v>3.5</v>
      </c>
      <c r="F44" s="47" t="n">
        <f aca="false">IFERROR(VLOOKUP(C44,_Listas!$C$2:$H$80,3,0)*D44/100,0)</f>
        <v>0</v>
      </c>
      <c r="G44" s="47" t="n">
        <f aca="false">IFERROR(VLOOKUP(C44,_Listas!$C$2:$H$80,4,0)*D44/100,0)</f>
        <v>1.05</v>
      </c>
      <c r="H44" s="47" t="n">
        <f aca="false">IFERROR(VLOOKUP(C44,_Listas!$C$2:$H$80,5,0)*D44/100,0)</f>
        <v>0</v>
      </c>
      <c r="I44" s="48" t="s">
        <v>157</v>
      </c>
    </row>
    <row r="45" customFormat="false" ht="19.5" hidden="false" customHeight="true" outlineLevel="0" collapsed="false">
      <c r="B45" s="49"/>
      <c r="C45" s="12" t="s">
        <v>68</v>
      </c>
      <c r="D45" s="13" t="n">
        <v>70</v>
      </c>
      <c r="E45" s="17" t="n">
        <f aca="false">IFERROR(VLOOKUP(C45,_Listas!$C$2:$H$80,2,0)*D45/100,0)</f>
        <v>196</v>
      </c>
      <c r="F45" s="17" t="n">
        <f aca="false">IFERROR(VLOOKUP(C45,_Listas!$C$2:$H$80,3,0)*D45/100,0)</f>
        <v>5.6</v>
      </c>
      <c r="G45" s="17" t="n">
        <f aca="false">IFERROR(VLOOKUP(C45,_Listas!$C$2:$H$80,4,0)*D45/100,0)</f>
        <v>35</v>
      </c>
      <c r="H45" s="17" t="n">
        <f aca="false">IFERROR(VLOOKUP(C45,_Listas!$C$2:$H$80,5,0)*D45/100,0)</f>
        <v>3.5</v>
      </c>
      <c r="I45" s="18" t="s">
        <v>102</v>
      </c>
    </row>
    <row r="46" customFormat="false" ht="19.5" hidden="false" customHeight="true" outlineLevel="0" collapsed="false">
      <c r="B46" s="49"/>
      <c r="C46" s="12" t="s">
        <v>72</v>
      </c>
      <c r="D46" s="13" t="n">
        <v>25</v>
      </c>
      <c r="E46" s="47" t="n">
        <f aca="false">IFERROR(VLOOKUP(C46,_Listas!$C$2:$H$80,2,0)*D46/100,0)</f>
        <v>72.25</v>
      </c>
      <c r="F46" s="47" t="n">
        <f aca="false">IFERROR(VLOOKUP(C46,_Listas!$C$2:$H$80,3,0)*D46/100,0)</f>
        <v>4.5</v>
      </c>
      <c r="G46" s="47" t="n">
        <f aca="false">IFERROR(VLOOKUP(C46,_Listas!$C$2:$H$80,4,0)*D46/100,0)</f>
        <v>0.65</v>
      </c>
      <c r="H46" s="47" t="n">
        <f aca="false">IFERROR(VLOOKUP(C46,_Listas!$C$2:$H$80,5,0)*D46/100,0)</f>
        <v>5.725</v>
      </c>
      <c r="I46" s="48" t="s">
        <v>104</v>
      </c>
    </row>
    <row r="47" customFormat="false" ht="19.5" hidden="false" customHeight="true" outlineLevel="0" collapsed="false">
      <c r="B47" s="49"/>
      <c r="C47" s="12" t="s">
        <v>73</v>
      </c>
      <c r="D47" s="13" t="n">
        <v>20</v>
      </c>
      <c r="E47" s="17" t="n">
        <f aca="false">IFERROR(VLOOKUP(C47,_Listas!$C$2:$H$80,2,0)*D47/100,0)</f>
        <v>48</v>
      </c>
      <c r="F47" s="17" t="n">
        <f aca="false">IFERROR(VLOOKUP(C47,_Listas!$C$2:$H$80,3,0)*D47/100,0)</f>
        <v>1.4</v>
      </c>
      <c r="G47" s="17" t="n">
        <f aca="false">IFERROR(VLOOKUP(C47,_Listas!$C$2:$H$80,4,0)*D47/100,0)</f>
        <v>0.7</v>
      </c>
      <c r="H47" s="17" t="n">
        <f aca="false">IFERROR(VLOOKUP(C47,_Listas!$C$2:$H$80,5,0)*D47/100,0)</f>
        <v>4.4</v>
      </c>
      <c r="I47" s="18" t="s">
        <v>103</v>
      </c>
    </row>
    <row r="48" customFormat="false" ht="19.5" hidden="false" customHeight="true" outlineLevel="0" collapsed="false">
      <c r="B48" s="49"/>
      <c r="C48" s="12" t="s">
        <v>21</v>
      </c>
      <c r="D48" s="13" t="n">
        <v>150</v>
      </c>
      <c r="E48" s="47" t="n">
        <f aca="false">IFERROR(VLOOKUP(C48,_Listas!$C$2:$H$80,2,0)*D48/100,0)</f>
        <v>355.5</v>
      </c>
      <c r="F48" s="47" t="n">
        <f aca="false">IFERROR(VLOOKUP(C48,_Listas!$C$2:$H$80,3,0)*D48/100,0)</f>
        <v>49.2</v>
      </c>
      <c r="G48" s="47" t="n">
        <f aca="false">IFERROR(VLOOKUP(C48,_Listas!$C$2:$H$80,4,0)*D48/100,0)</f>
        <v>0</v>
      </c>
      <c r="H48" s="47" t="n">
        <f aca="false">IFERROR(VLOOKUP(C48,_Listas!$C$2:$H$80,5,0)*D48/100,0)</f>
        <v>17.1</v>
      </c>
      <c r="I48" s="48" t="s">
        <v>158</v>
      </c>
    </row>
    <row r="49" customFormat="false" ht="19.5" hidden="false" customHeight="true" outlineLevel="0" collapsed="false">
      <c r="B49" s="49"/>
      <c r="C49" s="12" t="s">
        <v>11</v>
      </c>
      <c r="D49" s="13" t="n">
        <v>10</v>
      </c>
      <c r="E49" s="17" t="n">
        <f aca="false">IFERROR(VLOOKUP(C49,_Listas!$C$2:$H$80,2,0)*D49/100,0)</f>
        <v>1.1</v>
      </c>
      <c r="F49" s="17" t="n">
        <f aca="false">IFERROR(VLOOKUP(C49,_Listas!$C$2:$H$80,3,0)*D49/100,0)</f>
        <v>0.13</v>
      </c>
      <c r="G49" s="17" t="n">
        <f aca="false">IFERROR(VLOOKUP(C49,_Listas!$C$2:$H$80,4,0)*D49/100,0)</f>
        <v>0.17</v>
      </c>
      <c r="H49" s="17" t="n">
        <f aca="false">IFERROR(VLOOKUP(C49,_Listas!$C$2:$H$80,5,0)*D49/100,0)</f>
        <v>0.02</v>
      </c>
      <c r="I49" s="18" t="s">
        <v>159</v>
      </c>
    </row>
    <row r="50" customFormat="false" ht="19.5" hidden="false" customHeight="true" outlineLevel="0" collapsed="false">
      <c r="B50" s="49"/>
      <c r="C50" s="12" t="s">
        <v>79</v>
      </c>
      <c r="D50" s="13" t="n">
        <v>10</v>
      </c>
      <c r="E50" s="47" t="n">
        <f aca="false">IFERROR(VLOOKUP(C50,_Listas!$C$2:$H$80,2,0)*D50/100,0)</f>
        <v>1.8</v>
      </c>
      <c r="F50" s="47" t="n">
        <f aca="false">IFERROR(VLOOKUP(C50,_Listas!$C$2:$H$80,3,0)*D50/100,0)</f>
        <v>0.09</v>
      </c>
      <c r="G50" s="47" t="n">
        <f aca="false">IFERROR(VLOOKUP(C50,_Listas!$C$2:$H$80,4,0)*D50/100,0)</f>
        <v>0.35</v>
      </c>
      <c r="H50" s="47" t="n">
        <f aca="false">IFERROR(VLOOKUP(C50,_Listas!$C$2:$H$80,5,0)*D50/100,0)</f>
        <v>0.02</v>
      </c>
      <c r="I50" s="48" t="s">
        <v>160</v>
      </c>
    </row>
    <row r="51" customFormat="false" ht="19.5" hidden="false" customHeight="true" outlineLevel="0" collapsed="false">
      <c r="B51" s="49"/>
      <c r="C51" s="12" t="s">
        <v>30</v>
      </c>
      <c r="D51" s="13" t="n">
        <v>20</v>
      </c>
      <c r="E51" s="17" t="n">
        <f aca="false">IFERROR(VLOOKUP(C51,_Listas!$C$2:$H$80,2,0)*D51/100,0)</f>
        <v>20</v>
      </c>
      <c r="F51" s="17" t="n">
        <f aca="false">IFERROR(VLOOKUP(C51,_Listas!$C$2:$H$80,3,0)*D51/100,0)</f>
        <v>0.3</v>
      </c>
      <c r="G51" s="17" t="n">
        <f aca="false">IFERROR(VLOOKUP(C51,_Listas!$C$2:$H$80,4,0)*D51/100,0)</f>
        <v>4.8</v>
      </c>
      <c r="H51" s="17" t="n">
        <f aca="false">IFERROR(VLOOKUP(C51,_Listas!$C$2:$H$80,5,0)*D51/100,0)</f>
        <v>0.08</v>
      </c>
      <c r="I51" s="18" t="s">
        <v>161</v>
      </c>
    </row>
    <row r="52" customFormat="false" ht="18" hidden="false" customHeight="true" outlineLevel="0" collapsed="false">
      <c r="B52" s="50" t="s">
        <v>126</v>
      </c>
      <c r="C52" s="50"/>
      <c r="D52" s="51" t="n">
        <f aca="false">SUM(D44:D51)</f>
        <v>655</v>
      </c>
      <c r="E52" s="51" t="n">
        <f aca="false">SUM(E44:E51)</f>
        <v>698.15</v>
      </c>
      <c r="F52" s="51" t="n">
        <f aca="false">SUM(F44:F51)</f>
        <v>61.22</v>
      </c>
      <c r="G52" s="51" t="n">
        <f aca="false">SUM(G44:G51)</f>
        <v>42.72</v>
      </c>
      <c r="H52" s="51" t="n">
        <f aca="false">SUM(H44:H51)</f>
        <v>30.845</v>
      </c>
      <c r="I52" s="52"/>
    </row>
    <row r="53" customFormat="false" ht="3.75" hidden="false" customHeight="true" outlineLevel="0" collapsed="false"/>
    <row r="54" customFormat="false" ht="19.5" hidden="false" customHeight="true" outlineLevel="0" collapsed="false">
      <c r="B54" s="53" t="s">
        <v>127</v>
      </c>
      <c r="C54" s="53"/>
      <c r="D54" s="53"/>
      <c r="E54" s="53"/>
      <c r="F54" s="53"/>
      <c r="G54" s="53"/>
      <c r="H54" s="53"/>
      <c r="I54" s="53"/>
    </row>
    <row r="55" customFormat="false" ht="19.5" hidden="false" customHeight="true" outlineLevel="0" collapsed="false">
      <c r="B55" s="54" t="s">
        <v>128</v>
      </c>
      <c r="C55" s="12" t="s">
        <v>44</v>
      </c>
      <c r="D55" s="13" t="n">
        <v>150</v>
      </c>
      <c r="E55" s="55" t="n">
        <f aca="false">IFERROR(VLOOKUP(C55,_Listas!$C$2:$H$80,2,0)*D55/100,0)</f>
        <v>237</v>
      </c>
      <c r="F55" s="55" t="n">
        <f aca="false">IFERROR(VLOOKUP(C55,_Listas!$C$2:$H$80,3,0)*D55/100,0)</f>
        <v>7.2</v>
      </c>
      <c r="G55" s="55" t="n">
        <f aca="false">IFERROR(VLOOKUP(C55,_Listas!$C$2:$H$80,4,0)*D55/100,0)</f>
        <v>47.55</v>
      </c>
      <c r="H55" s="55" t="n">
        <f aca="false">IFERROR(VLOOKUP(C55,_Listas!$C$2:$H$80,5,0)*D55/100,0)</f>
        <v>1.2</v>
      </c>
      <c r="I55" s="56" t="s">
        <v>115</v>
      </c>
    </row>
    <row r="56" customFormat="false" ht="19.5" hidden="false" customHeight="true" outlineLevel="0" collapsed="false">
      <c r="B56" s="57"/>
      <c r="C56" s="12" t="s">
        <v>29</v>
      </c>
      <c r="D56" s="13" t="n">
        <v>140</v>
      </c>
      <c r="E56" s="17" t="n">
        <f aca="false">IFERROR(VLOOKUP(C56,_Listas!$C$2:$H$80,2,0)*D56/100,0)</f>
        <v>306.6</v>
      </c>
      <c r="F56" s="17" t="n">
        <f aca="false">IFERROR(VLOOKUP(C56,_Listas!$C$2:$H$80,3,0)*D56/100,0)</f>
        <v>49</v>
      </c>
      <c r="G56" s="17" t="n">
        <f aca="false">IFERROR(VLOOKUP(C56,_Listas!$C$2:$H$80,4,0)*D56/100,0)</f>
        <v>0</v>
      </c>
      <c r="H56" s="17" t="n">
        <f aca="false">IFERROR(VLOOKUP(C56,_Listas!$C$2:$H$80,5,0)*D56/100,0)</f>
        <v>11.9</v>
      </c>
      <c r="I56" s="18" t="s">
        <v>162</v>
      </c>
    </row>
    <row r="57" customFormat="false" ht="19.5" hidden="false" customHeight="true" outlineLevel="0" collapsed="false">
      <c r="B57" s="57"/>
      <c r="C57" s="12" t="s">
        <v>52</v>
      </c>
      <c r="D57" s="13" t="n">
        <v>100</v>
      </c>
      <c r="E57" s="55" t="n">
        <f aca="false">IFERROR(VLOOKUP(C57,_Listas!$C$2:$H$80,2,0)*D57/100,0)</f>
        <v>35</v>
      </c>
      <c r="F57" s="55" t="n">
        <f aca="false">IFERROR(VLOOKUP(C57,_Listas!$C$2:$H$80,3,0)*D57/100,0)</f>
        <v>1.5</v>
      </c>
      <c r="G57" s="55" t="n">
        <f aca="false">IFERROR(VLOOKUP(C57,_Listas!$C$2:$H$80,4,0)*D57/100,0)</f>
        <v>7</v>
      </c>
      <c r="H57" s="55" t="n">
        <f aca="false">IFERROR(VLOOKUP(C57,_Listas!$C$2:$H$80,5,0)*D57/100,0)</f>
        <v>0.3</v>
      </c>
      <c r="I57" s="56" t="s">
        <v>124</v>
      </c>
    </row>
    <row r="58" customFormat="false" ht="19.5" hidden="false" customHeight="true" outlineLevel="0" collapsed="false">
      <c r="B58" s="57"/>
      <c r="C58" s="12" t="s">
        <v>39</v>
      </c>
      <c r="D58" s="13" t="n">
        <v>140</v>
      </c>
      <c r="E58" s="17" t="n">
        <f aca="false">IFERROR(VLOOKUP(C58,_Listas!$C$2:$H$80,2,0)*D58/100,0)</f>
        <v>64.4</v>
      </c>
      <c r="F58" s="17" t="n">
        <f aca="false">IFERROR(VLOOKUP(C58,_Listas!$C$2:$H$80,3,0)*D58/100,0)</f>
        <v>1.26</v>
      </c>
      <c r="G58" s="17" t="n">
        <f aca="false">IFERROR(VLOOKUP(C58,_Listas!$C$2:$H$80,4,0)*D58/100,0)</f>
        <v>16.1</v>
      </c>
      <c r="H58" s="17" t="n">
        <f aca="false">IFERROR(VLOOKUP(C58,_Listas!$C$2:$H$80,5,0)*D58/100,0)</f>
        <v>0.14</v>
      </c>
      <c r="I58" s="18" t="s">
        <v>102</v>
      </c>
    </row>
    <row r="59" customFormat="false" ht="3.75" hidden="false" customHeight="true" outlineLevel="0" collapsed="false"/>
    <row r="60" customFormat="false" ht="31.5" hidden="false" customHeight="true" outlineLevel="0" collapsed="false">
      <c r="B60" s="58" t="s">
        <v>133</v>
      </c>
      <c r="C60" s="58"/>
      <c r="D60" s="59" t="n">
        <f aca="false">SUM(D9:D15,D19:D19,D23:D27,D38:D40,D44:D51)</f>
        <v>2231</v>
      </c>
      <c r="E60" s="59" t="n">
        <f aca="false">SUM(E9:E15,E19:E19,E23:E27,E38:E40,E44:E51)</f>
        <v>2317.4</v>
      </c>
      <c r="F60" s="59" t="n">
        <f aca="false">SUM(F9:F15,F19:F19,F23:F27,F38:F40,F44:F51)</f>
        <v>212.32</v>
      </c>
      <c r="G60" s="59" t="n">
        <f aca="false">SUM(G9:G15,G19:G19,G23:G27,G38:G40,G44:G51)</f>
        <v>214.56</v>
      </c>
      <c r="H60" s="59" t="n">
        <f aca="false">SUM(H9:H15,H19:H19,H23:H27,H38:H40,H44:H51)</f>
        <v>68.225</v>
      </c>
      <c r="I60" s="60"/>
    </row>
    <row r="61" customFormat="false" ht="21.75" hidden="false" customHeight="true" outlineLevel="0" collapsed="false">
      <c r="B61" s="61" t="s">
        <v>134</v>
      </c>
      <c r="C61" s="61"/>
      <c r="D61" s="62" t="str">
        <f aca="false">IF(E60&lt;C4*0.9,"⚠️ Abaixo da meta",IF(E60&lt;=C4,"✅ Na meta",IF(E60&lt;=C4*1.1,"🟡 Ligeiramente acima","🔴 Acima da meta")))</f>
        <v>🔴 Acima da meta</v>
      </c>
      <c r="E61" s="62"/>
      <c r="F61" s="62"/>
      <c r="G61" s="62"/>
      <c r="H61" s="62"/>
      <c r="I61" s="62"/>
    </row>
    <row r="63" customFormat="false" ht="25.5" hidden="false" customHeight="true" outlineLevel="0" collapsed="false">
      <c r="B63" s="63" t="s">
        <v>135</v>
      </c>
      <c r="C63" s="63"/>
      <c r="D63" s="63"/>
      <c r="E63" s="63"/>
      <c r="F63" s="63"/>
      <c r="G63" s="63"/>
      <c r="H63" s="63"/>
      <c r="I63" s="63"/>
    </row>
    <row r="64" customFormat="false" ht="31.5" hidden="false" customHeight="true" outlineLevel="0" collapsed="false">
      <c r="B64" s="64" t="s">
        <v>136</v>
      </c>
      <c r="C64" s="7" t="s">
        <v>94</v>
      </c>
      <c r="D64" s="7" t="s">
        <v>137</v>
      </c>
      <c r="E64" s="6" t="s">
        <v>138</v>
      </c>
      <c r="F64" s="8" t="s">
        <v>139</v>
      </c>
      <c r="G64" s="9" t="s">
        <v>140</v>
      </c>
      <c r="H64" s="64" t="s">
        <v>141</v>
      </c>
      <c r="I64" s="65"/>
    </row>
    <row r="65" customFormat="false" ht="19.5" hidden="false" customHeight="true" outlineLevel="0" collapsed="false">
      <c r="B65" s="66" t="s">
        <v>100</v>
      </c>
      <c r="C65" s="67" t="n">
        <f aca="false">SUM(E9:E15)</f>
        <v>361.35</v>
      </c>
      <c r="D65" s="68" t="n">
        <f aca="false">IFERROR(C65/E60,0)</f>
        <v>0.155929058427548</v>
      </c>
      <c r="E65" s="69" t="n">
        <f aca="false">SUM(F9:F15)</f>
        <v>13.02</v>
      </c>
      <c r="F65" s="69" t="n">
        <f aca="false">SUM(G9:G15)</f>
        <v>54.37</v>
      </c>
      <c r="G65" s="69" t="n">
        <f aca="false">SUM(H9:H15)</f>
        <v>10.4</v>
      </c>
      <c r="H65" s="70" t="s">
        <v>142</v>
      </c>
      <c r="I65" s="71"/>
    </row>
    <row r="66" customFormat="false" ht="19.5" hidden="false" customHeight="true" outlineLevel="0" collapsed="false">
      <c r="B66" s="72" t="s">
        <v>109</v>
      </c>
      <c r="C66" s="73" t="n">
        <f aca="false">SUM(E19:E19)</f>
        <v>201</v>
      </c>
      <c r="D66" s="74" t="n">
        <f aca="false">IFERROR(C66/E60,0)</f>
        <v>0.0867351342021231</v>
      </c>
      <c r="E66" s="75" t="n">
        <f aca="false">SUM(F19:F19)</f>
        <v>20.1</v>
      </c>
      <c r="F66" s="75" t="n">
        <f aca="false">SUM(G19:G19)</f>
        <v>30</v>
      </c>
      <c r="G66" s="75" t="n">
        <f aca="false">SUM(H19:H19)</f>
        <v>0</v>
      </c>
      <c r="H66" s="76" t="s">
        <v>143</v>
      </c>
      <c r="I66" s="77"/>
    </row>
    <row r="67" customFormat="false" ht="19.5" hidden="false" customHeight="true" outlineLevel="0" collapsed="false">
      <c r="B67" s="78" t="s">
        <v>112</v>
      </c>
      <c r="C67" s="79" t="n">
        <f aca="false">SUM(E23:E27)</f>
        <v>655.3</v>
      </c>
      <c r="D67" s="80" t="n">
        <f aca="false">IFERROR(C67/E60,0)</f>
        <v>0.282773798222146</v>
      </c>
      <c r="E67" s="81" t="n">
        <f aca="false">SUM(F23:F27)</f>
        <v>62.8</v>
      </c>
      <c r="F67" s="81" t="n">
        <f aca="false">SUM(G23:G27)</f>
        <v>58.99</v>
      </c>
      <c r="G67" s="81" t="n">
        <f aca="false">SUM(H23:H27)</f>
        <v>18.12</v>
      </c>
      <c r="H67" s="82" t="s">
        <v>144</v>
      </c>
      <c r="I67" s="83"/>
    </row>
    <row r="68" customFormat="false" ht="19.5" hidden="false" customHeight="true" outlineLevel="0" collapsed="false">
      <c r="B68" s="84" t="s">
        <v>119</v>
      </c>
      <c r="C68" s="92" t="n">
        <f aca="false">SUM(E38:E40)</f>
        <v>401.6</v>
      </c>
      <c r="D68" s="93" t="n">
        <f aca="false">IFERROR(C68/E60,0)</f>
        <v>0.173297661172003</v>
      </c>
      <c r="E68" s="94" t="n">
        <f aca="false">SUM(F38:F40)</f>
        <v>55.18</v>
      </c>
      <c r="F68" s="94" t="n">
        <f aca="false">SUM(G38:G40)</f>
        <v>28.48</v>
      </c>
      <c r="G68" s="94" t="n">
        <f aca="false">SUM(H38:H40)</f>
        <v>8.86</v>
      </c>
      <c r="H68" s="95" t="s">
        <v>145</v>
      </c>
      <c r="I68" s="96"/>
    </row>
    <row r="69" customFormat="false" ht="19.5" hidden="false" customHeight="true" outlineLevel="0" collapsed="false">
      <c r="B69" s="85" t="s">
        <v>123</v>
      </c>
      <c r="C69" s="73" t="n">
        <f aca="false">SUM(E44:E51)</f>
        <v>698.15</v>
      </c>
      <c r="D69" s="74" t="n">
        <f aca="false">IFERROR(C69/E60,0)</f>
        <v>0.30126434797618</v>
      </c>
      <c r="E69" s="75" t="n">
        <f aca="false">SUM(F44:F51)</f>
        <v>61.22</v>
      </c>
      <c r="F69" s="75" t="n">
        <f aca="false">SUM(G44:G51)</f>
        <v>42.72</v>
      </c>
      <c r="G69" s="75" t="n">
        <f aca="false">SUM(H44:H51)</f>
        <v>30.845</v>
      </c>
      <c r="H69" s="76" t="s">
        <v>146</v>
      </c>
      <c r="I69" s="77"/>
    </row>
  </sheetData>
  <mergeCells count="18">
    <mergeCell ref="B2:I2"/>
    <mergeCell ref="B3:I3"/>
    <mergeCell ref="B8:I8"/>
    <mergeCell ref="B16:C16"/>
    <mergeCell ref="B18:I18"/>
    <mergeCell ref="B20:C20"/>
    <mergeCell ref="B22:I22"/>
    <mergeCell ref="B28:C28"/>
    <mergeCell ref="B30:I30"/>
    <mergeCell ref="B37:I37"/>
    <mergeCell ref="B41:C41"/>
    <mergeCell ref="B43:I43"/>
    <mergeCell ref="B52:C52"/>
    <mergeCell ref="B54:I54"/>
    <mergeCell ref="B60:C60"/>
    <mergeCell ref="B61:C61"/>
    <mergeCell ref="D61:I61"/>
    <mergeCell ref="B63:I6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 C23:C27 C31:C35 C38:C40 C44:C51 C55:C58" type="list">
      <formula1>_Listas!$A$2:$A$80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7" t="s">
        <v>167</v>
      </c>
      <c r="C2" s="97"/>
      <c r="D2" s="97"/>
      <c r="E2" s="97"/>
      <c r="F2" s="97"/>
      <c r="G2" s="97"/>
      <c r="H2" s="97"/>
      <c r="I2" s="97"/>
    </row>
    <row r="3" customFormat="false" ht="15.75" hidden="false" customHeight="true" outlineLevel="0" collapsed="false">
      <c r="B3" s="2" t="s">
        <v>86</v>
      </c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B4" s="3" t="s">
        <v>87</v>
      </c>
      <c r="C4" s="4" t="n">
        <v>2000</v>
      </c>
      <c r="D4" s="3" t="s">
        <v>88</v>
      </c>
      <c r="E4" s="4" t="n">
        <v>70</v>
      </c>
      <c r="F4" s="3" t="s">
        <v>89</v>
      </c>
      <c r="G4" s="4" t="s">
        <v>90</v>
      </c>
    </row>
    <row r="5" customFormat="false" ht="6" hidden="false" customHeight="true" outlineLevel="0" collapsed="false"/>
    <row r="6" customFormat="false" ht="39.75" hidden="false" customHeight="true" outlineLevel="0" collapsed="false">
      <c r="B6" s="5" t="s">
        <v>91</v>
      </c>
      <c r="C6" s="5" t="s">
        <v>92</v>
      </c>
      <c r="D6" s="6" t="s">
        <v>93</v>
      </c>
      <c r="E6" s="7" t="s">
        <v>94</v>
      </c>
      <c r="F6" s="6" t="s">
        <v>95</v>
      </c>
      <c r="G6" s="8" t="s">
        <v>96</v>
      </c>
      <c r="H6" s="9" t="s">
        <v>97</v>
      </c>
      <c r="I6" s="5" t="s">
        <v>98</v>
      </c>
    </row>
    <row r="7" customFormat="false" ht="4.5" hidden="false" customHeight="true" outlineLevel="0" collapsed="false"/>
    <row r="8" customFormat="false" ht="24" hidden="false" customHeight="true" outlineLevel="0" collapsed="false">
      <c r="B8" s="10" t="s">
        <v>99</v>
      </c>
      <c r="C8" s="10"/>
      <c r="D8" s="10"/>
      <c r="E8" s="10"/>
      <c r="F8" s="10"/>
      <c r="G8" s="10"/>
      <c r="H8" s="10"/>
      <c r="I8" s="10"/>
    </row>
    <row r="9" customFormat="false" ht="19.5" hidden="false" customHeight="true" outlineLevel="0" collapsed="false">
      <c r="B9" s="11" t="s">
        <v>100</v>
      </c>
      <c r="C9" s="12" t="s">
        <v>23</v>
      </c>
      <c r="D9" s="13" t="n">
        <v>200</v>
      </c>
      <c r="E9" s="14" t="n">
        <f aca="false">IFERROR(VLOOKUP(C9,_Listas!$C$2:$H$80,2,0)*D9/100,0)</f>
        <v>4</v>
      </c>
      <c r="F9" s="14" t="n">
        <f aca="false">IFERROR(VLOOKUP(C9,_Listas!$C$2:$H$80,3,0)*D9/100,0)</f>
        <v>0.6</v>
      </c>
      <c r="G9" s="14" t="n">
        <f aca="false">IFERROR(VLOOKUP(C9,_Listas!$C$2:$H$80,4,0)*D9/100,0)</f>
        <v>0</v>
      </c>
      <c r="H9" s="14" t="n">
        <f aca="false">IFERROR(VLOOKUP(C9,_Listas!$C$2:$H$80,5,0)*D9/100,0)</f>
        <v>0</v>
      </c>
      <c r="I9" s="15" t="s">
        <v>101</v>
      </c>
    </row>
    <row r="10" customFormat="false" ht="19.5" hidden="false" customHeight="true" outlineLevel="0" collapsed="false">
      <c r="B10" s="16"/>
      <c r="C10" s="12" t="s">
        <v>70</v>
      </c>
      <c r="D10" s="13" t="n">
        <v>60</v>
      </c>
      <c r="E10" s="17" t="n">
        <f aca="false">IFERROR(VLOOKUP(C10,_Listas!$C$2:$H$80,2,0)*D10/100,0)</f>
        <v>151.8</v>
      </c>
      <c r="F10" s="17" t="n">
        <f aca="false">IFERROR(VLOOKUP(C10,_Listas!$C$2:$H$80,3,0)*D10/100,0)</f>
        <v>5.28</v>
      </c>
      <c r="G10" s="17" t="n">
        <f aca="false">IFERROR(VLOOKUP(C10,_Listas!$C$2:$H$80,4,0)*D10/100,0)</f>
        <v>28.02</v>
      </c>
      <c r="H10" s="17" t="n">
        <f aca="false">IFERROR(VLOOKUP(C10,_Listas!$C$2:$H$80,5,0)*D10/100,0)</f>
        <v>2.1</v>
      </c>
      <c r="I10" s="18" t="s">
        <v>168</v>
      </c>
    </row>
    <row r="11" customFormat="false" ht="19.5" hidden="false" customHeight="true" outlineLevel="0" collapsed="false">
      <c r="B11" s="16"/>
      <c r="C11" s="12" t="s">
        <v>72</v>
      </c>
      <c r="D11" s="13" t="n">
        <v>30</v>
      </c>
      <c r="E11" s="14" t="n">
        <f aca="false">IFERROR(VLOOKUP(C11,_Listas!$C$2:$H$80,2,0)*D11/100,0)</f>
        <v>86.7</v>
      </c>
      <c r="F11" s="14" t="n">
        <f aca="false">IFERROR(VLOOKUP(C11,_Listas!$C$2:$H$80,3,0)*D11/100,0)</f>
        <v>5.4</v>
      </c>
      <c r="G11" s="14" t="n">
        <f aca="false">IFERROR(VLOOKUP(C11,_Listas!$C$2:$H$80,4,0)*D11/100,0)</f>
        <v>0.78</v>
      </c>
      <c r="H11" s="14" t="n">
        <f aca="false">IFERROR(VLOOKUP(C11,_Listas!$C$2:$H$80,5,0)*D11/100,0)</f>
        <v>6.87</v>
      </c>
      <c r="I11" s="15" t="s">
        <v>168</v>
      </c>
    </row>
    <row r="12" customFormat="false" ht="19.5" hidden="false" customHeight="true" outlineLevel="0" collapsed="false">
      <c r="B12" s="16"/>
      <c r="C12" s="12" t="s">
        <v>55</v>
      </c>
      <c r="D12" s="13" t="n">
        <v>50</v>
      </c>
      <c r="E12" s="17" t="n">
        <f aca="false">IFERROR(VLOOKUP(C12,_Listas!$C$2:$H$80,2,0)*D12/100,0)</f>
        <v>73</v>
      </c>
      <c r="F12" s="17" t="n">
        <f aca="false">IFERROR(VLOOKUP(C12,_Listas!$C$2:$H$80,3,0)*D12/100,0)</f>
        <v>6.65</v>
      </c>
      <c r="G12" s="17" t="n">
        <f aca="false">IFERROR(VLOOKUP(C12,_Listas!$C$2:$H$80,4,0)*D12/100,0)</f>
        <v>0.3</v>
      </c>
      <c r="H12" s="17" t="n">
        <f aca="false">IFERROR(VLOOKUP(C12,_Listas!$C$2:$H$80,5,0)*D12/100,0)</f>
        <v>5</v>
      </c>
      <c r="I12" s="18" t="s">
        <v>102</v>
      </c>
    </row>
    <row r="13" customFormat="false" ht="19.5" hidden="false" customHeight="true" outlineLevel="0" collapsed="false">
      <c r="B13" s="16"/>
      <c r="C13" s="12" t="s">
        <v>48</v>
      </c>
      <c r="D13" s="13" t="n">
        <v>120</v>
      </c>
      <c r="E13" s="14" t="n">
        <f aca="false">IFERROR(VLOOKUP(C13,_Listas!$C$2:$H$80,2,0)*D13/100,0)</f>
        <v>67.2</v>
      </c>
      <c r="F13" s="14" t="n">
        <f aca="false">IFERROR(VLOOKUP(C13,_Listas!$C$2:$H$80,3,0)*D13/100,0)</f>
        <v>0.36</v>
      </c>
      <c r="G13" s="14" t="n">
        <f aca="false">IFERROR(VLOOKUP(C13,_Listas!$C$2:$H$80,4,0)*D13/100,0)</f>
        <v>17.88</v>
      </c>
      <c r="H13" s="14" t="n">
        <f aca="false">IFERROR(VLOOKUP(C13,_Listas!$C$2:$H$80,5,0)*D13/100,0)</f>
        <v>0.12</v>
      </c>
      <c r="I13" s="15" t="s">
        <v>102</v>
      </c>
    </row>
    <row r="14" customFormat="false" ht="19.5" hidden="false" customHeight="true" outlineLevel="0" collapsed="false">
      <c r="B14" s="16"/>
      <c r="C14" s="12" t="s">
        <v>32</v>
      </c>
      <c r="D14" s="13" t="n">
        <v>6</v>
      </c>
      <c r="E14" s="17" t="n">
        <f aca="false">IFERROR(VLOOKUP(C14,_Listas!$C$2:$H$80,2,0)*D14/100,0)</f>
        <v>0</v>
      </c>
      <c r="F14" s="17" t="n">
        <f aca="false">IFERROR(VLOOKUP(C14,_Listas!$C$2:$H$80,3,0)*D14/100,0)</f>
        <v>0</v>
      </c>
      <c r="G14" s="17" t="n">
        <f aca="false">IFERROR(VLOOKUP(C14,_Listas!$C$2:$H$80,4,0)*D14/100,0)</f>
        <v>0</v>
      </c>
      <c r="H14" s="17" t="n">
        <f aca="false">IFERROR(VLOOKUP(C14,_Listas!$C$2:$H$80,5,0)*D14/100,0)</f>
        <v>0</v>
      </c>
      <c r="I14" s="18" t="s">
        <v>106</v>
      </c>
    </row>
    <row r="15" customFormat="false" ht="18" hidden="false" customHeight="true" outlineLevel="0" collapsed="false">
      <c r="B15" s="19" t="s">
        <v>107</v>
      </c>
      <c r="C15" s="19"/>
      <c r="D15" s="20" t="n">
        <f aca="false">SUM(D9:D14)</f>
        <v>466</v>
      </c>
      <c r="E15" s="20" t="n">
        <f aca="false">SUM(E9:E14)</f>
        <v>382.7</v>
      </c>
      <c r="F15" s="20" t="n">
        <f aca="false">SUM(F9:F14)</f>
        <v>18.29</v>
      </c>
      <c r="G15" s="20" t="n">
        <f aca="false">SUM(G9:G14)</f>
        <v>46.98</v>
      </c>
      <c r="H15" s="20" t="n">
        <f aca="false">SUM(H9:H14)</f>
        <v>14.09</v>
      </c>
      <c r="I15" s="21"/>
    </row>
    <row r="16" customFormat="false" ht="3.75" hidden="false" customHeight="true" outlineLevel="0" collapsed="false"/>
    <row r="17" customFormat="false" ht="24" hidden="false" customHeight="true" outlineLevel="0" collapsed="false">
      <c r="B17" s="22" t="s">
        <v>108</v>
      </c>
      <c r="C17" s="22"/>
      <c r="D17" s="22"/>
      <c r="E17" s="22"/>
      <c r="F17" s="22"/>
      <c r="G17" s="22"/>
      <c r="H17" s="22"/>
      <c r="I17" s="22"/>
    </row>
    <row r="18" customFormat="false" ht="19.5" hidden="false" customHeight="true" outlineLevel="0" collapsed="false">
      <c r="B18" s="23" t="s">
        <v>109</v>
      </c>
      <c r="C18" s="12" t="s">
        <v>84</v>
      </c>
      <c r="D18" s="13" t="n">
        <v>300</v>
      </c>
      <c r="E18" s="24" t="n">
        <f aca="false">IFERROR(VLOOKUP(C18,_Listas!$C$2:$H$80,2,0)*D18/100,0)</f>
        <v>201</v>
      </c>
      <c r="F18" s="24" t="n">
        <f aca="false">IFERROR(VLOOKUP(C18,_Listas!$C$2:$H$80,3,0)*D18/100,0)</f>
        <v>20.1</v>
      </c>
      <c r="G18" s="24" t="n">
        <f aca="false">IFERROR(VLOOKUP(C18,_Listas!$C$2:$H$80,4,0)*D18/100,0)</f>
        <v>30</v>
      </c>
      <c r="H18" s="24" t="n">
        <f aca="false">IFERROR(VLOOKUP(C18,_Listas!$C$2:$H$80,5,0)*D18/100,0)</f>
        <v>0</v>
      </c>
      <c r="I18" s="25" t="s">
        <v>102</v>
      </c>
    </row>
    <row r="19" customFormat="false" ht="18" hidden="false" customHeight="true" outlineLevel="0" collapsed="false">
      <c r="B19" s="26" t="s">
        <v>110</v>
      </c>
      <c r="C19" s="26"/>
      <c r="D19" s="27" t="n">
        <f aca="false">SUM(D18:D18)</f>
        <v>300</v>
      </c>
      <c r="E19" s="27" t="n">
        <f aca="false">SUM(E18:E18)</f>
        <v>201</v>
      </c>
      <c r="F19" s="27" t="n">
        <f aca="false">SUM(F18:F18)</f>
        <v>20.1</v>
      </c>
      <c r="G19" s="27" t="n">
        <f aca="false">SUM(G18:G18)</f>
        <v>30</v>
      </c>
      <c r="H19" s="27" t="n">
        <f aca="false">SUM(H18:H18)</f>
        <v>0</v>
      </c>
      <c r="I19" s="28"/>
    </row>
    <row r="20" customFormat="false" ht="3.75" hidden="false" customHeight="true" outlineLevel="0" collapsed="false"/>
    <row r="21" customFormat="false" ht="24" hidden="false" customHeight="true" outlineLevel="0" collapsed="false">
      <c r="B21" s="29" t="s">
        <v>111</v>
      </c>
      <c r="C21" s="29"/>
      <c r="D21" s="29"/>
      <c r="E21" s="29"/>
      <c r="F21" s="29"/>
      <c r="G21" s="29"/>
      <c r="H21" s="29"/>
      <c r="I21" s="29"/>
    </row>
    <row r="22" customFormat="false" ht="19.5" hidden="false" customHeight="true" outlineLevel="0" collapsed="false">
      <c r="B22" s="30" t="s">
        <v>112</v>
      </c>
      <c r="C22" s="12" t="s">
        <v>13</v>
      </c>
      <c r="D22" s="13" t="n">
        <v>160</v>
      </c>
      <c r="E22" s="31" t="n">
        <f aca="false">IFERROR(VLOOKUP(C22,_Listas!$C$2:$H$80,2,0)*D22/100,0)</f>
        <v>204.8</v>
      </c>
      <c r="F22" s="31" t="n">
        <f aca="false">IFERROR(VLOOKUP(C22,_Listas!$C$2:$H$80,3,0)*D22/100,0)</f>
        <v>4</v>
      </c>
      <c r="G22" s="31" t="n">
        <f aca="false">IFERROR(VLOOKUP(C22,_Listas!$C$2:$H$80,4,0)*D22/100,0)</f>
        <v>44.96</v>
      </c>
      <c r="H22" s="31" t="n">
        <f aca="false">IFERROR(VLOOKUP(C22,_Listas!$C$2:$H$80,5,0)*D22/100,0)</f>
        <v>0.32</v>
      </c>
      <c r="I22" s="32" t="s">
        <v>169</v>
      </c>
    </row>
    <row r="23" customFormat="false" ht="19.5" hidden="false" customHeight="true" outlineLevel="0" collapsed="false">
      <c r="B23" s="33"/>
      <c r="C23" s="12" t="s">
        <v>34</v>
      </c>
      <c r="D23" s="13" t="n">
        <v>130</v>
      </c>
      <c r="E23" s="17" t="n">
        <f aca="false">IFERROR(VLOOKUP(C23,_Listas!$C$2:$H$80,2,0)*D23/100,0)</f>
        <v>100.1</v>
      </c>
      <c r="F23" s="17" t="n">
        <f aca="false">IFERROR(VLOOKUP(C23,_Listas!$C$2:$H$80,3,0)*D23/100,0)</f>
        <v>5.85</v>
      </c>
      <c r="G23" s="17" t="n">
        <f aca="false">IFERROR(VLOOKUP(C23,_Listas!$C$2:$H$80,4,0)*D23/100,0)</f>
        <v>17.68</v>
      </c>
      <c r="H23" s="17" t="n">
        <f aca="false">IFERROR(VLOOKUP(C23,_Listas!$C$2:$H$80,5,0)*D23/100,0)</f>
        <v>0.65</v>
      </c>
      <c r="I23" s="18" t="s">
        <v>170</v>
      </c>
    </row>
    <row r="24" customFormat="false" ht="19.5" hidden="false" customHeight="true" outlineLevel="0" collapsed="false">
      <c r="B24" s="33"/>
      <c r="C24" s="12" t="s">
        <v>76</v>
      </c>
      <c r="D24" s="13" t="n">
        <v>180</v>
      </c>
      <c r="E24" s="31" t="n">
        <f aca="false">IFERROR(VLOOKUP(C24,_Listas!$C$2:$H$80,2,0)*D24/100,0)</f>
        <v>387</v>
      </c>
      <c r="F24" s="31" t="n">
        <f aca="false">IFERROR(VLOOKUP(C24,_Listas!$C$2:$H$80,3,0)*D24/100,0)</f>
        <v>37.8</v>
      </c>
      <c r="G24" s="31" t="n">
        <f aca="false">IFERROR(VLOOKUP(C24,_Listas!$C$2:$H$80,4,0)*D24/100,0)</f>
        <v>0</v>
      </c>
      <c r="H24" s="31" t="n">
        <f aca="false">IFERROR(VLOOKUP(C24,_Listas!$C$2:$H$80,5,0)*D24/100,0)</f>
        <v>25.2</v>
      </c>
      <c r="I24" s="32" t="s">
        <v>171</v>
      </c>
    </row>
    <row r="25" customFormat="false" ht="19.5" hidden="false" customHeight="true" outlineLevel="0" collapsed="false">
      <c r="B25" s="33"/>
      <c r="C25" s="12" t="s">
        <v>53</v>
      </c>
      <c r="D25" s="13" t="n">
        <v>100</v>
      </c>
      <c r="E25" s="17" t="n">
        <f aca="false">IFERROR(VLOOKUP(C25,_Listas!$C$2:$H$80,2,0)*D25/100,0)</f>
        <v>26</v>
      </c>
      <c r="F25" s="17" t="n">
        <f aca="false">IFERROR(VLOOKUP(C25,_Listas!$C$2:$H$80,3,0)*D25/100,0)</f>
        <v>0.7</v>
      </c>
      <c r="G25" s="17" t="n">
        <f aca="false">IFERROR(VLOOKUP(C25,_Listas!$C$2:$H$80,4,0)*D25/100,0)</f>
        <v>6</v>
      </c>
      <c r="H25" s="17" t="n">
        <f aca="false">IFERROR(VLOOKUP(C25,_Listas!$C$2:$H$80,5,0)*D25/100,0)</f>
        <v>0.1</v>
      </c>
      <c r="I25" s="18" t="s">
        <v>115</v>
      </c>
    </row>
    <row r="26" customFormat="false" ht="19.5" hidden="false" customHeight="true" outlineLevel="0" collapsed="false">
      <c r="B26" s="33"/>
      <c r="C26" s="12" t="s">
        <v>49</v>
      </c>
      <c r="D26" s="13" t="n">
        <v>200</v>
      </c>
      <c r="E26" s="31" t="n">
        <f aca="false">IFERROR(VLOOKUP(C26,_Listas!$C$2:$H$80,2,0)*D26/100,0)</f>
        <v>66</v>
      </c>
      <c r="F26" s="31" t="n">
        <f aca="false">IFERROR(VLOOKUP(C26,_Listas!$C$2:$H$80,3,0)*D26/100,0)</f>
        <v>1.4</v>
      </c>
      <c r="G26" s="31" t="n">
        <f aca="false">IFERROR(VLOOKUP(C26,_Listas!$C$2:$H$80,4,0)*D26/100,0)</f>
        <v>16</v>
      </c>
      <c r="H26" s="31" t="n">
        <f aca="false">IFERROR(VLOOKUP(C26,_Listas!$C$2:$H$80,5,0)*D26/100,0)</f>
        <v>0.4</v>
      </c>
      <c r="I26" s="32" t="s">
        <v>172</v>
      </c>
    </row>
    <row r="27" customFormat="false" ht="18" hidden="false" customHeight="true" outlineLevel="0" collapsed="false">
      <c r="B27" s="34" t="s">
        <v>117</v>
      </c>
      <c r="C27" s="34"/>
      <c r="D27" s="35" t="n">
        <f aca="false">SUM(D22:D26)</f>
        <v>770</v>
      </c>
      <c r="E27" s="35" t="n">
        <f aca="false">SUM(E22:E26)</f>
        <v>783.9</v>
      </c>
      <c r="F27" s="35" t="n">
        <f aca="false">SUM(F22:F26)</f>
        <v>49.75</v>
      </c>
      <c r="G27" s="35" t="n">
        <f aca="false">SUM(G22:G26)</f>
        <v>84.64</v>
      </c>
      <c r="H27" s="35" t="n">
        <f aca="false">SUM(H22:H26)</f>
        <v>26.67</v>
      </c>
      <c r="I27" s="36"/>
    </row>
    <row r="28" customFormat="false" ht="3.75" hidden="false" customHeight="true" outlineLevel="0" collapsed="false"/>
    <row r="29" customFormat="false" ht="24" hidden="false" customHeight="true" outlineLevel="0" collapsed="false">
      <c r="B29" s="37" t="s">
        <v>118</v>
      </c>
      <c r="C29" s="37"/>
      <c r="D29" s="37"/>
      <c r="E29" s="37"/>
      <c r="F29" s="37"/>
      <c r="G29" s="37"/>
      <c r="H29" s="37"/>
      <c r="I29" s="37"/>
    </row>
    <row r="30" customFormat="false" ht="19.5" hidden="false" customHeight="true" outlineLevel="0" collapsed="false">
      <c r="B30" s="38" t="s">
        <v>119</v>
      </c>
      <c r="C30" s="12" t="s">
        <v>23</v>
      </c>
      <c r="D30" s="13" t="n">
        <v>200</v>
      </c>
      <c r="E30" s="39" t="n">
        <f aca="false">IFERROR(VLOOKUP(C30,_Listas!$C$2:$H$80,2,0)*D30/100,0)</f>
        <v>4</v>
      </c>
      <c r="F30" s="39" t="n">
        <f aca="false">IFERROR(VLOOKUP(C30,_Listas!$C$2:$H$80,3,0)*D30/100,0)</f>
        <v>0.6</v>
      </c>
      <c r="G30" s="39" t="n">
        <f aca="false">IFERROR(VLOOKUP(C30,_Listas!$C$2:$H$80,4,0)*D30/100,0)</f>
        <v>0</v>
      </c>
      <c r="H30" s="39" t="n">
        <f aca="false">IFERROR(VLOOKUP(C30,_Listas!$C$2:$H$80,5,0)*D30/100,0)</f>
        <v>0</v>
      </c>
      <c r="I30" s="40" t="s">
        <v>101</v>
      </c>
    </row>
    <row r="31" customFormat="false" ht="19.5" hidden="false" customHeight="true" outlineLevel="0" collapsed="false">
      <c r="B31" s="41"/>
      <c r="C31" s="12" t="s">
        <v>69</v>
      </c>
      <c r="D31" s="13" t="n">
        <v>60</v>
      </c>
      <c r="E31" s="17" t="n">
        <f aca="false">IFERROR(VLOOKUP(C31,_Listas!$C$2:$H$80,2,0)*D31/100,0)</f>
        <v>180</v>
      </c>
      <c r="F31" s="17" t="n">
        <f aca="false">IFERROR(VLOOKUP(C31,_Listas!$C$2:$H$80,3,0)*D31/100,0)</f>
        <v>4.8</v>
      </c>
      <c r="G31" s="17" t="n">
        <f aca="false">IFERROR(VLOOKUP(C31,_Listas!$C$2:$H$80,4,0)*D31/100,0)</f>
        <v>35.16</v>
      </c>
      <c r="H31" s="17" t="n">
        <f aca="false">IFERROR(VLOOKUP(C31,_Listas!$C$2:$H$80,5,0)*D31/100,0)</f>
        <v>1.86</v>
      </c>
      <c r="I31" s="18" t="s">
        <v>102</v>
      </c>
    </row>
    <row r="32" customFormat="false" ht="19.5" hidden="false" customHeight="true" outlineLevel="0" collapsed="false">
      <c r="B32" s="41"/>
      <c r="C32" s="12" t="s">
        <v>73</v>
      </c>
      <c r="D32" s="13" t="n">
        <v>15</v>
      </c>
      <c r="E32" s="39" t="n">
        <f aca="false">IFERROR(VLOOKUP(C32,_Listas!$C$2:$H$80,2,0)*D32/100,0)</f>
        <v>36</v>
      </c>
      <c r="F32" s="39" t="n">
        <f aca="false">IFERROR(VLOOKUP(C32,_Listas!$C$2:$H$80,3,0)*D32/100,0)</f>
        <v>1.05</v>
      </c>
      <c r="G32" s="39" t="n">
        <f aca="false">IFERROR(VLOOKUP(C32,_Listas!$C$2:$H$80,4,0)*D32/100,0)</f>
        <v>0.525</v>
      </c>
      <c r="H32" s="39" t="n">
        <f aca="false">IFERROR(VLOOKUP(C32,_Listas!$C$2:$H$80,5,0)*D32/100,0)</f>
        <v>3.3</v>
      </c>
      <c r="I32" s="40" t="s">
        <v>103</v>
      </c>
    </row>
    <row r="33" customFormat="false" ht="18" hidden="false" customHeight="true" outlineLevel="0" collapsed="false">
      <c r="B33" s="42" t="s">
        <v>121</v>
      </c>
      <c r="C33" s="42"/>
      <c r="D33" s="43" t="n">
        <f aca="false">SUM(D30:D32)</f>
        <v>275</v>
      </c>
      <c r="E33" s="43" t="n">
        <f aca="false">SUM(E30:E32)</f>
        <v>220</v>
      </c>
      <c r="F33" s="43" t="n">
        <f aca="false">SUM(F30:F32)</f>
        <v>6.45</v>
      </c>
      <c r="G33" s="43" t="n">
        <f aca="false">SUM(G30:G32)</f>
        <v>35.685</v>
      </c>
      <c r="H33" s="43" t="n">
        <f aca="false">SUM(H30:H32)</f>
        <v>5.16</v>
      </c>
      <c r="I33" s="44"/>
    </row>
    <row r="34" customFormat="false" ht="3.75" hidden="false" customHeight="true" outlineLevel="0" collapsed="false"/>
    <row r="35" customFormat="false" ht="24" hidden="false" customHeight="true" outlineLevel="0" collapsed="false">
      <c r="B35" s="45" t="s">
        <v>122</v>
      </c>
      <c r="C35" s="45"/>
      <c r="D35" s="45"/>
      <c r="E35" s="45"/>
      <c r="F35" s="45"/>
      <c r="G35" s="45"/>
      <c r="H35" s="45"/>
      <c r="I35" s="45"/>
    </row>
    <row r="36" customFormat="false" ht="19.5" hidden="false" customHeight="true" outlineLevel="0" collapsed="false">
      <c r="B36" s="46" t="s">
        <v>123</v>
      </c>
      <c r="C36" s="12" t="s">
        <v>44</v>
      </c>
      <c r="D36" s="13" t="n">
        <v>150</v>
      </c>
      <c r="E36" s="47" t="n">
        <f aca="false">IFERROR(VLOOKUP(C36,_Listas!$C$2:$H$80,2,0)*D36/100,0)</f>
        <v>237</v>
      </c>
      <c r="F36" s="47" t="n">
        <f aca="false">IFERROR(VLOOKUP(C36,_Listas!$C$2:$H$80,3,0)*D36/100,0)</f>
        <v>7.2</v>
      </c>
      <c r="G36" s="47" t="n">
        <f aca="false">IFERROR(VLOOKUP(C36,_Listas!$C$2:$H$80,4,0)*D36/100,0)</f>
        <v>47.55</v>
      </c>
      <c r="H36" s="47" t="n">
        <f aca="false">IFERROR(VLOOKUP(C36,_Listas!$C$2:$H$80,5,0)*D36/100,0)</f>
        <v>1.2</v>
      </c>
      <c r="I36" s="48" t="s">
        <v>115</v>
      </c>
    </row>
    <row r="37" customFormat="false" ht="19.5" hidden="false" customHeight="true" outlineLevel="0" collapsed="false">
      <c r="B37" s="49"/>
      <c r="C37" s="12" t="s">
        <v>29</v>
      </c>
      <c r="D37" s="13" t="n">
        <v>140</v>
      </c>
      <c r="E37" s="17" t="n">
        <f aca="false">IFERROR(VLOOKUP(C37,_Listas!$C$2:$H$80,2,0)*D37/100,0)</f>
        <v>306.6</v>
      </c>
      <c r="F37" s="17" t="n">
        <f aca="false">IFERROR(VLOOKUP(C37,_Listas!$C$2:$H$80,3,0)*D37/100,0)</f>
        <v>49</v>
      </c>
      <c r="G37" s="17" t="n">
        <f aca="false">IFERROR(VLOOKUP(C37,_Listas!$C$2:$H$80,4,0)*D37/100,0)</f>
        <v>0</v>
      </c>
      <c r="H37" s="17" t="n">
        <f aca="false">IFERROR(VLOOKUP(C37,_Listas!$C$2:$H$80,5,0)*D37/100,0)</f>
        <v>11.9</v>
      </c>
      <c r="I37" s="18" t="s">
        <v>162</v>
      </c>
    </row>
    <row r="38" customFormat="false" ht="19.5" hidden="false" customHeight="true" outlineLevel="0" collapsed="false">
      <c r="B38" s="49"/>
      <c r="C38" s="12" t="s">
        <v>52</v>
      </c>
      <c r="D38" s="13" t="n">
        <v>100</v>
      </c>
      <c r="E38" s="47" t="n">
        <f aca="false">IFERROR(VLOOKUP(C38,_Listas!$C$2:$H$80,2,0)*D38/100,0)</f>
        <v>35</v>
      </c>
      <c r="F38" s="47" t="n">
        <f aca="false">IFERROR(VLOOKUP(C38,_Listas!$C$2:$H$80,3,0)*D38/100,0)</f>
        <v>1.5</v>
      </c>
      <c r="G38" s="47" t="n">
        <f aca="false">IFERROR(VLOOKUP(C38,_Listas!$C$2:$H$80,4,0)*D38/100,0)</f>
        <v>7</v>
      </c>
      <c r="H38" s="47" t="n">
        <f aca="false">IFERROR(VLOOKUP(C38,_Listas!$C$2:$H$80,5,0)*D38/100,0)</f>
        <v>0.3</v>
      </c>
      <c r="I38" s="48" t="s">
        <v>124</v>
      </c>
    </row>
    <row r="39" customFormat="false" ht="19.5" hidden="false" customHeight="true" outlineLevel="0" collapsed="false">
      <c r="B39" s="49"/>
      <c r="C39" s="12" t="s">
        <v>39</v>
      </c>
      <c r="D39" s="13" t="n">
        <v>140</v>
      </c>
      <c r="E39" s="17" t="n">
        <f aca="false">IFERROR(VLOOKUP(C39,_Listas!$C$2:$H$80,2,0)*D39/100,0)</f>
        <v>64.4</v>
      </c>
      <c r="F39" s="17" t="n">
        <f aca="false">IFERROR(VLOOKUP(C39,_Listas!$C$2:$H$80,3,0)*D39/100,0)</f>
        <v>1.26</v>
      </c>
      <c r="G39" s="17" t="n">
        <f aca="false">IFERROR(VLOOKUP(C39,_Listas!$C$2:$H$80,4,0)*D39/100,0)</f>
        <v>16.1</v>
      </c>
      <c r="H39" s="17" t="n">
        <f aca="false">IFERROR(VLOOKUP(C39,_Listas!$C$2:$H$80,5,0)*D39/100,0)</f>
        <v>0.14</v>
      </c>
      <c r="I39" s="18" t="s">
        <v>102</v>
      </c>
    </row>
    <row r="40" customFormat="false" ht="18" hidden="false" customHeight="true" outlineLevel="0" collapsed="false">
      <c r="B40" s="50" t="s">
        <v>126</v>
      </c>
      <c r="C40" s="50"/>
      <c r="D40" s="51" t="n">
        <f aca="false">SUM(D36:D39)</f>
        <v>530</v>
      </c>
      <c r="E40" s="51" t="n">
        <f aca="false">SUM(E36:E39)</f>
        <v>643</v>
      </c>
      <c r="F40" s="51" t="n">
        <f aca="false">SUM(F36:F39)</f>
        <v>58.96</v>
      </c>
      <c r="G40" s="51" t="n">
        <f aca="false">SUM(G36:G39)</f>
        <v>70.65</v>
      </c>
      <c r="H40" s="51" t="n">
        <f aca="false">SUM(H36:H39)</f>
        <v>13.54</v>
      </c>
      <c r="I40" s="52"/>
    </row>
    <row r="41" customFormat="false" ht="3.75" hidden="false" customHeight="true" outlineLevel="0" collapsed="false"/>
    <row r="42" customFormat="false" ht="31.5" hidden="false" customHeight="true" outlineLevel="0" collapsed="false">
      <c r="B42" s="58" t="s">
        <v>133</v>
      </c>
      <c r="C42" s="58"/>
      <c r="D42" s="59" t="n">
        <f aca="false">SUM(D9:D14,D18:D18,D22:D26,D30:D32,D36:D39)</f>
        <v>2341</v>
      </c>
      <c r="E42" s="59" t="n">
        <f aca="false">SUM(E9:E14,E18:E18,E22:E26,E30:E32,E36:E39)</f>
        <v>2230.6</v>
      </c>
      <c r="F42" s="59" t="n">
        <f aca="false">SUM(F9:F14,F18:F18,F22:F26,F30:F32,F36:F39)</f>
        <v>153.55</v>
      </c>
      <c r="G42" s="59" t="n">
        <f aca="false">SUM(G9:G14,G18:G18,G22:G26,G30:G32,G36:G39)</f>
        <v>267.955</v>
      </c>
      <c r="H42" s="59" t="n">
        <f aca="false">SUM(H9:H14,H18:H18,H22:H26,H30:H32,H36:H39)</f>
        <v>59.46</v>
      </c>
      <c r="I42" s="60"/>
    </row>
    <row r="43" customFormat="false" ht="21.75" hidden="false" customHeight="true" outlineLevel="0" collapsed="false">
      <c r="B43" s="61" t="s">
        <v>134</v>
      </c>
      <c r="C43" s="61"/>
      <c r="D43" s="62" t="str">
        <f aca="false">IF(E42&lt;C4*0.9,"⚠️ Abaixo da meta",IF(E42&lt;=C4,"✅ Na meta",IF(E42&lt;=C4*1.1,"🟡 Ligeiramente acima","🔴 Acima da meta")))</f>
        <v>🔴 Acima da meta</v>
      </c>
      <c r="E43" s="62"/>
      <c r="F43" s="62"/>
      <c r="G43" s="62"/>
      <c r="H43" s="62"/>
      <c r="I43" s="62"/>
    </row>
    <row r="45" customFormat="false" ht="25.5" hidden="false" customHeight="true" outlineLevel="0" collapsed="false">
      <c r="B45" s="63" t="s">
        <v>135</v>
      </c>
      <c r="C45" s="63"/>
      <c r="D45" s="63"/>
      <c r="E45" s="63"/>
      <c r="F45" s="63"/>
      <c r="G45" s="63"/>
      <c r="H45" s="63"/>
      <c r="I45" s="63"/>
    </row>
    <row r="46" customFormat="false" ht="31.5" hidden="false" customHeight="true" outlineLevel="0" collapsed="false">
      <c r="B46" s="64" t="s">
        <v>136</v>
      </c>
      <c r="C46" s="7" t="s">
        <v>94</v>
      </c>
      <c r="D46" s="7" t="s">
        <v>137</v>
      </c>
      <c r="E46" s="6" t="s">
        <v>138</v>
      </c>
      <c r="F46" s="8" t="s">
        <v>139</v>
      </c>
      <c r="G46" s="9" t="s">
        <v>140</v>
      </c>
      <c r="H46" s="64" t="s">
        <v>141</v>
      </c>
      <c r="I46" s="65"/>
    </row>
    <row r="47" customFormat="false" ht="19.5" hidden="false" customHeight="true" outlineLevel="0" collapsed="false">
      <c r="B47" s="66" t="s">
        <v>100</v>
      </c>
      <c r="C47" s="67" t="n">
        <f aca="false">SUM(E9:E14)</f>
        <v>382.7</v>
      </c>
      <c r="D47" s="68" t="n">
        <f aca="false">IFERROR(C47/E42,0)</f>
        <v>0.171568187931498</v>
      </c>
      <c r="E47" s="69" t="n">
        <f aca="false">SUM(F9:F14)</f>
        <v>18.29</v>
      </c>
      <c r="F47" s="69" t="n">
        <f aca="false">SUM(G9:G14)</f>
        <v>46.98</v>
      </c>
      <c r="G47" s="69" t="n">
        <f aca="false">SUM(H9:H14)</f>
        <v>14.09</v>
      </c>
      <c r="H47" s="70" t="s">
        <v>142</v>
      </c>
      <c r="I47" s="71"/>
    </row>
    <row r="48" customFormat="false" ht="19.5" hidden="false" customHeight="true" outlineLevel="0" collapsed="false">
      <c r="B48" s="72" t="s">
        <v>109</v>
      </c>
      <c r="C48" s="73" t="n">
        <f aca="false">SUM(E18:E18)</f>
        <v>201</v>
      </c>
      <c r="D48" s="74" t="n">
        <f aca="false">IFERROR(C48/E42,0)</f>
        <v>0.0901102842284587</v>
      </c>
      <c r="E48" s="75" t="n">
        <f aca="false">SUM(F18:F18)</f>
        <v>20.1</v>
      </c>
      <c r="F48" s="75" t="n">
        <f aca="false">SUM(G18:G18)</f>
        <v>30</v>
      </c>
      <c r="G48" s="75" t="n">
        <f aca="false">SUM(H18:H18)</f>
        <v>0</v>
      </c>
      <c r="H48" s="76" t="s">
        <v>143</v>
      </c>
      <c r="I48" s="77"/>
    </row>
    <row r="49" customFormat="false" ht="19.5" hidden="false" customHeight="true" outlineLevel="0" collapsed="false">
      <c r="B49" s="78" t="s">
        <v>112</v>
      </c>
      <c r="C49" s="79" t="n">
        <f aca="false">SUM(E22:E26)</f>
        <v>783.9</v>
      </c>
      <c r="D49" s="80" t="n">
        <f aca="false">IFERROR(C49/E42,0)</f>
        <v>0.351430108490989</v>
      </c>
      <c r="E49" s="81" t="n">
        <f aca="false">SUM(F22:F26)</f>
        <v>49.75</v>
      </c>
      <c r="F49" s="81" t="n">
        <f aca="false">SUM(G22:G26)</f>
        <v>84.64</v>
      </c>
      <c r="G49" s="81" t="n">
        <f aca="false">SUM(H22:H26)</f>
        <v>26.67</v>
      </c>
      <c r="H49" s="82" t="s">
        <v>144</v>
      </c>
      <c r="I49" s="83"/>
    </row>
    <row r="50" customFormat="false" ht="19.5" hidden="false" customHeight="true" outlineLevel="0" collapsed="false">
      <c r="B50" s="84" t="s">
        <v>119</v>
      </c>
      <c r="C50" s="73" t="n">
        <f aca="false">SUM(E30:E32)</f>
        <v>220</v>
      </c>
      <c r="D50" s="74" t="n">
        <f aca="false">IFERROR(C50/E42,0)</f>
        <v>0.0986281717923429</v>
      </c>
      <c r="E50" s="75" t="n">
        <f aca="false">SUM(F30:F32)</f>
        <v>6.45</v>
      </c>
      <c r="F50" s="75" t="n">
        <f aca="false">SUM(G30:G32)</f>
        <v>35.685</v>
      </c>
      <c r="G50" s="75" t="n">
        <f aca="false">SUM(H30:H32)</f>
        <v>5.16</v>
      </c>
      <c r="H50" s="76" t="s">
        <v>145</v>
      </c>
      <c r="I50" s="77"/>
    </row>
    <row r="51" customFormat="false" ht="19.5" hidden="false" customHeight="true" outlineLevel="0" collapsed="false">
      <c r="B51" s="85" t="s">
        <v>123</v>
      </c>
      <c r="C51" s="86" t="n">
        <f aca="false">SUM(E36:E39)</f>
        <v>643</v>
      </c>
      <c r="D51" s="87" t="n">
        <f aca="false">IFERROR(C51/E42,0)</f>
        <v>0.288263247556711</v>
      </c>
      <c r="E51" s="88" t="n">
        <f aca="false">SUM(F36:F39)</f>
        <v>58.96</v>
      </c>
      <c r="F51" s="88" t="n">
        <f aca="false">SUM(G36:G39)</f>
        <v>70.65</v>
      </c>
      <c r="G51" s="88" t="n">
        <f aca="false">SUM(H36:H39)</f>
        <v>13.54</v>
      </c>
      <c r="H51" s="89" t="s">
        <v>146</v>
      </c>
      <c r="I51" s="90"/>
    </row>
  </sheetData>
  <mergeCells count="16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3:C33"/>
    <mergeCell ref="B35:I35"/>
    <mergeCell ref="B40:C40"/>
    <mergeCell ref="B42:C42"/>
    <mergeCell ref="B43:C43"/>
    <mergeCell ref="D43:I43"/>
    <mergeCell ref="B45:I45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2 C36:C39" type="list">
      <formula1>_Listas!$A$2:$A$80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0"/>
    <col collapsed="false" customWidth="true" hidden="false" outlineLevel="0" max="7" min="3" style="0" width="11"/>
    <col collapsed="false" customWidth="true" hidden="false" outlineLevel="0" max="8" min="8" style="0" width="14"/>
    <col collapsed="false" customWidth="true" hidden="false" outlineLevel="0" max="9" min="9" style="0" width="1.51"/>
  </cols>
  <sheetData>
    <row r="1" customFormat="false" ht="4.5" hidden="false" customHeight="true" outlineLevel="0" collapsed="false"/>
    <row r="2" customFormat="false" ht="33.75" hidden="false" customHeight="true" outlineLevel="0" collapsed="false">
      <c r="B2" s="98" t="s">
        <v>173</v>
      </c>
      <c r="C2" s="98"/>
      <c r="D2" s="98"/>
      <c r="E2" s="98"/>
      <c r="F2" s="98"/>
      <c r="G2" s="98"/>
      <c r="H2" s="98"/>
    </row>
    <row r="3" customFormat="false" ht="18" hidden="false" customHeight="true" outlineLevel="0" collapsed="false">
      <c r="B3" s="99" t="s">
        <v>174</v>
      </c>
      <c r="C3" s="99"/>
      <c r="D3" s="99"/>
      <c r="E3" s="99"/>
      <c r="F3" s="99"/>
      <c r="G3" s="99"/>
      <c r="H3" s="99"/>
    </row>
    <row r="4" customFormat="false" ht="7.5" hidden="false" customHeight="true" outlineLevel="0" collapsed="false"/>
    <row r="5" customFormat="false" ht="25.5" hidden="false" customHeight="true" outlineLevel="0" collapsed="false">
      <c r="B5" s="100" t="s">
        <v>175</v>
      </c>
      <c r="C5" s="100"/>
      <c r="D5" s="100"/>
      <c r="E5" s="100"/>
      <c r="F5" s="100"/>
      <c r="G5" s="100"/>
      <c r="H5" s="100"/>
    </row>
    <row r="6" customFormat="false" ht="21.75" hidden="false" customHeight="true" outlineLevel="0" collapsed="false">
      <c r="B6" s="101" t="s">
        <v>176</v>
      </c>
      <c r="C6" s="102" t="s">
        <v>177</v>
      </c>
      <c r="D6" s="102"/>
      <c r="E6" s="103" t="n">
        <v>100</v>
      </c>
      <c r="F6" s="104" t="s">
        <v>178</v>
      </c>
      <c r="G6" s="105" t="n">
        <f aca="false">IFERROR(VLOOKUP(C6,_Listas!$C$2:$H$80,2,0)*E6/100,0)</f>
        <v>0</v>
      </c>
      <c r="H6" s="105"/>
    </row>
    <row r="7" customFormat="false" ht="21.75" hidden="false" customHeight="true" outlineLevel="0" collapsed="false">
      <c r="B7" s="101" t="s">
        <v>179</v>
      </c>
      <c r="C7" s="106" t="s">
        <v>177</v>
      </c>
      <c r="D7" s="106"/>
      <c r="E7" s="103" t="n">
        <v>100</v>
      </c>
      <c r="F7" s="104" t="s">
        <v>178</v>
      </c>
      <c r="G7" s="105" t="n">
        <f aca="false">IFERROR(VLOOKUP(C7,_Listas!$C$2:$H$80,2,0)*E7/100,0)</f>
        <v>0</v>
      </c>
      <c r="H7" s="105"/>
    </row>
    <row r="8" customFormat="false" ht="19.5" hidden="false" customHeight="true" outlineLevel="0" collapsed="false">
      <c r="B8" s="107" t="s">
        <v>180</v>
      </c>
      <c r="C8" s="107"/>
      <c r="D8" s="107"/>
      <c r="E8" s="107"/>
      <c r="F8" s="107"/>
      <c r="G8" s="108" t="n">
        <f aca="false">IFERROR(G7-G6,0)</f>
        <v>0</v>
      </c>
      <c r="H8" s="108"/>
    </row>
    <row r="9" customFormat="false" ht="7.5" hidden="false" customHeight="true" outlineLevel="0" collapsed="false"/>
    <row r="10" customFormat="false" ht="27.75" hidden="false" customHeight="true" outlineLevel="0" collapsed="false">
      <c r="B10" s="109" t="s">
        <v>181</v>
      </c>
      <c r="C10" s="109"/>
      <c r="D10" s="109"/>
      <c r="E10" s="109"/>
      <c r="F10" s="109"/>
      <c r="G10" s="109"/>
      <c r="H10" s="109"/>
    </row>
    <row r="11" customFormat="false" ht="36" hidden="false" customHeight="true" outlineLevel="0" collapsed="false">
      <c r="B11" s="8" t="s">
        <v>0</v>
      </c>
      <c r="C11" s="7" t="s">
        <v>182</v>
      </c>
      <c r="D11" s="6" t="s">
        <v>95</v>
      </c>
      <c r="E11" s="8" t="s">
        <v>96</v>
      </c>
      <c r="F11" s="9" t="s">
        <v>97</v>
      </c>
      <c r="G11" s="110" t="s">
        <v>183</v>
      </c>
      <c r="H11" s="111" t="s">
        <v>184</v>
      </c>
    </row>
    <row r="12" customFormat="false" ht="21.75" hidden="false" customHeight="true" outlineLevel="0" collapsed="false">
      <c r="B12" s="101" t="s">
        <v>185</v>
      </c>
      <c r="C12" s="112" t="n">
        <v>100</v>
      </c>
      <c r="D12" s="112"/>
      <c r="E12" s="112"/>
      <c r="F12" s="112"/>
      <c r="G12" s="112"/>
      <c r="H12" s="113" t="s">
        <v>186</v>
      </c>
    </row>
    <row r="13" customFormat="false" ht="18.75" hidden="false" customHeight="true" outlineLevel="0" collapsed="false">
      <c r="B13" s="114" t="s">
        <v>8</v>
      </c>
      <c r="C13" s="24" t="n">
        <v>149</v>
      </c>
      <c r="D13" s="24" t="n">
        <v>0.9</v>
      </c>
      <c r="E13" s="24" t="n">
        <v>35.3</v>
      </c>
      <c r="F13" s="24" t="n">
        <v>0.3</v>
      </c>
      <c r="G13" s="24" t="n">
        <v>1.9</v>
      </c>
      <c r="H13" s="115" t="n">
        <f aca="false">IFERROR(C13*C12/100,0)</f>
        <v>149</v>
      </c>
    </row>
    <row r="14" customFormat="false" ht="18.75" hidden="false" customHeight="true" outlineLevel="0" collapsed="false">
      <c r="B14" s="116" t="s">
        <v>13</v>
      </c>
      <c r="C14" s="17" t="n">
        <v>128</v>
      </c>
      <c r="D14" s="17" t="n">
        <v>2.5</v>
      </c>
      <c r="E14" s="17" t="n">
        <v>28.1</v>
      </c>
      <c r="F14" s="17" t="n">
        <v>0.2</v>
      </c>
      <c r="G14" s="17" t="n">
        <v>1.6</v>
      </c>
      <c r="H14" s="115" t="n">
        <f aca="false">IFERROR(C14*C12/100,0)</f>
        <v>128</v>
      </c>
    </row>
    <row r="15" customFormat="false" ht="18.75" hidden="false" customHeight="true" outlineLevel="0" collapsed="false">
      <c r="B15" s="114" t="s">
        <v>14</v>
      </c>
      <c r="C15" s="24" t="n">
        <v>124</v>
      </c>
      <c r="D15" s="24" t="n">
        <v>2.6</v>
      </c>
      <c r="E15" s="24" t="n">
        <v>25.8</v>
      </c>
      <c r="F15" s="24" t="n">
        <v>1</v>
      </c>
      <c r="G15" s="24" t="n">
        <v>2.7</v>
      </c>
      <c r="H15" s="115" t="n">
        <f aca="false">IFERROR(C15*C12/100,0)</f>
        <v>124</v>
      </c>
    </row>
    <row r="16" customFormat="false" ht="18.75" hidden="false" customHeight="true" outlineLevel="0" collapsed="false">
      <c r="B16" s="116" t="s">
        <v>17</v>
      </c>
      <c r="C16" s="17" t="n">
        <v>118</v>
      </c>
      <c r="D16" s="17" t="n">
        <v>1.6</v>
      </c>
      <c r="E16" s="17" t="n">
        <v>27.5</v>
      </c>
      <c r="F16" s="17" t="n">
        <v>0.1</v>
      </c>
      <c r="G16" s="17" t="n">
        <v>3</v>
      </c>
      <c r="H16" s="115" t="n">
        <f aca="false">IFERROR(C16*C12/100,0)</f>
        <v>118</v>
      </c>
    </row>
    <row r="17" customFormat="false" ht="18.75" hidden="false" customHeight="true" outlineLevel="0" collapsed="false">
      <c r="B17" s="114" t="s">
        <v>18</v>
      </c>
      <c r="C17" s="24" t="n">
        <v>93</v>
      </c>
      <c r="D17" s="24" t="n">
        <v>2.5</v>
      </c>
      <c r="E17" s="24" t="n">
        <v>21</v>
      </c>
      <c r="F17" s="24" t="n">
        <v>0.1</v>
      </c>
      <c r="G17" s="24" t="n">
        <v>1.8</v>
      </c>
      <c r="H17" s="115" t="n">
        <f aca="false">IFERROR(C17*C12/100,0)</f>
        <v>93</v>
      </c>
    </row>
    <row r="18" customFormat="false" ht="18.75" hidden="false" customHeight="true" outlineLevel="0" collapsed="false">
      <c r="B18" s="116" t="s">
        <v>19</v>
      </c>
      <c r="C18" s="17" t="n">
        <v>87</v>
      </c>
      <c r="D18" s="17" t="n">
        <v>1.9</v>
      </c>
      <c r="E18" s="17" t="n">
        <v>19.7</v>
      </c>
      <c r="F18" s="17" t="n">
        <v>0.1</v>
      </c>
      <c r="G18" s="17" t="n">
        <v>1.8</v>
      </c>
      <c r="H18" s="115" t="n">
        <f aca="false">IFERROR(C18*C12/100,0)</f>
        <v>87</v>
      </c>
    </row>
    <row r="19" customFormat="false" ht="18.75" hidden="false" customHeight="true" outlineLevel="0" collapsed="false">
      <c r="B19" s="114" t="s">
        <v>33</v>
      </c>
      <c r="C19" s="24" t="n">
        <v>127</v>
      </c>
      <c r="D19" s="24" t="n">
        <v>3</v>
      </c>
      <c r="E19" s="24" t="n">
        <v>27.6</v>
      </c>
      <c r="F19" s="24" t="n">
        <v>0.6</v>
      </c>
      <c r="G19" s="24" t="n">
        <v>1.8</v>
      </c>
      <c r="H19" s="115" t="n">
        <f aca="false">IFERROR(C19*C12/100,0)</f>
        <v>127</v>
      </c>
    </row>
    <row r="20" customFormat="false" ht="18.75" hidden="false" customHeight="true" outlineLevel="0" collapsed="false">
      <c r="B20" s="116" t="s">
        <v>44</v>
      </c>
      <c r="C20" s="17" t="n">
        <v>158</v>
      </c>
      <c r="D20" s="17" t="n">
        <v>4.8</v>
      </c>
      <c r="E20" s="17" t="n">
        <v>31.7</v>
      </c>
      <c r="F20" s="17" t="n">
        <v>0.8</v>
      </c>
      <c r="G20" s="17" t="n">
        <v>1.5</v>
      </c>
      <c r="H20" s="115" t="n">
        <f aca="false">IFERROR(C20*C12/100,0)</f>
        <v>158</v>
      </c>
    </row>
    <row r="21" customFormat="false" ht="18.75" hidden="false" customHeight="true" outlineLevel="0" collapsed="false">
      <c r="B21" s="114" t="s">
        <v>45</v>
      </c>
      <c r="C21" s="24" t="n">
        <v>141</v>
      </c>
      <c r="D21" s="24" t="n">
        <v>5.2</v>
      </c>
      <c r="E21" s="24" t="n">
        <v>28.6</v>
      </c>
      <c r="F21" s="24" t="n">
        <v>1.1</v>
      </c>
      <c r="G21" s="24" t="n">
        <v>3.2</v>
      </c>
      <c r="H21" s="115" t="n">
        <f aca="false">IFERROR(C21*C12/100,0)</f>
        <v>141</v>
      </c>
    </row>
    <row r="22" customFormat="false" ht="18.75" hidden="false" customHeight="true" outlineLevel="0" collapsed="false">
      <c r="B22" s="116" t="s">
        <v>53</v>
      </c>
      <c r="C22" s="17" t="n">
        <v>26</v>
      </c>
      <c r="D22" s="17" t="n">
        <v>0.7</v>
      </c>
      <c r="E22" s="17" t="n">
        <v>6</v>
      </c>
      <c r="F22" s="17" t="n">
        <v>0.1</v>
      </c>
      <c r="G22" s="17" t="n">
        <v>2</v>
      </c>
      <c r="H22" s="115" t="n">
        <f aca="false">IFERROR(C22*C12/100,0)</f>
        <v>26</v>
      </c>
    </row>
    <row r="23" customFormat="false" ht="18.75" hidden="false" customHeight="true" outlineLevel="0" collapsed="false">
      <c r="B23" s="114" t="s">
        <v>66</v>
      </c>
      <c r="C23" s="24" t="n">
        <v>70</v>
      </c>
      <c r="D23" s="24" t="n">
        <v>1.6</v>
      </c>
      <c r="E23" s="24" t="n">
        <v>15.2</v>
      </c>
      <c r="F23" s="24" t="n">
        <v>0.3</v>
      </c>
      <c r="G23" s="24" t="n">
        <v>1</v>
      </c>
      <c r="H23" s="115" t="n">
        <f aca="false">IFERROR(C23*C12/100,0)</f>
        <v>70</v>
      </c>
    </row>
    <row r="24" customFormat="false" ht="7.5" hidden="false" customHeight="true" outlineLevel="0" collapsed="false"/>
    <row r="25" customFormat="false" ht="27.75" hidden="false" customHeight="true" outlineLevel="0" collapsed="false">
      <c r="B25" s="117" t="s">
        <v>187</v>
      </c>
      <c r="C25" s="117"/>
      <c r="D25" s="117"/>
      <c r="E25" s="117"/>
      <c r="F25" s="117"/>
      <c r="G25" s="117"/>
      <c r="H25" s="117"/>
    </row>
    <row r="26" customFormat="false" ht="36" hidden="false" customHeight="true" outlineLevel="0" collapsed="false">
      <c r="B26" s="118" t="s">
        <v>0</v>
      </c>
      <c r="C26" s="7" t="s">
        <v>182</v>
      </c>
      <c r="D26" s="6" t="s">
        <v>95</v>
      </c>
      <c r="E26" s="8" t="s">
        <v>96</v>
      </c>
      <c r="F26" s="9" t="s">
        <v>97</v>
      </c>
      <c r="G26" s="110" t="s">
        <v>183</v>
      </c>
      <c r="H26" s="111" t="s">
        <v>184</v>
      </c>
    </row>
    <row r="27" customFormat="false" ht="21.75" hidden="false" customHeight="true" outlineLevel="0" collapsed="false">
      <c r="B27" s="101" t="s">
        <v>185</v>
      </c>
      <c r="C27" s="112" t="n">
        <v>100</v>
      </c>
      <c r="D27" s="112"/>
      <c r="E27" s="112"/>
      <c r="F27" s="112"/>
      <c r="G27" s="112"/>
      <c r="H27" s="113" t="s">
        <v>186</v>
      </c>
    </row>
    <row r="28" customFormat="false" ht="18.75" hidden="false" customHeight="true" outlineLevel="0" collapsed="false">
      <c r="B28" s="119" t="s">
        <v>6</v>
      </c>
      <c r="C28" s="120" t="n">
        <v>160</v>
      </c>
      <c r="D28" s="120" t="n">
        <v>1.2</v>
      </c>
      <c r="E28" s="120" t="n">
        <v>6</v>
      </c>
      <c r="F28" s="120" t="n">
        <v>14.7</v>
      </c>
      <c r="G28" s="120" t="n">
        <v>6.2</v>
      </c>
      <c r="H28" s="115" t="n">
        <f aca="false">IFERROR(C28*C27/100,0)</f>
        <v>160</v>
      </c>
    </row>
    <row r="29" customFormat="false" ht="18.75" hidden="false" customHeight="true" outlineLevel="0" collapsed="false">
      <c r="B29" s="116" t="s">
        <v>7</v>
      </c>
      <c r="C29" s="17" t="n">
        <v>48</v>
      </c>
      <c r="D29" s="17" t="n">
        <v>0.9</v>
      </c>
      <c r="E29" s="17" t="n">
        <v>12.3</v>
      </c>
      <c r="F29" s="17" t="n">
        <v>0.1</v>
      </c>
      <c r="G29" s="17" t="n">
        <v>1</v>
      </c>
      <c r="H29" s="115" t="n">
        <f aca="false">IFERROR(C29*C27/100,0)</f>
        <v>48</v>
      </c>
    </row>
    <row r="30" customFormat="false" ht="18.75" hidden="false" customHeight="true" outlineLevel="0" collapsed="false">
      <c r="B30" s="119" t="s">
        <v>12</v>
      </c>
      <c r="C30" s="120" t="n">
        <v>55</v>
      </c>
      <c r="D30" s="120" t="n">
        <v>0.8</v>
      </c>
      <c r="E30" s="120" t="n">
        <v>13.9</v>
      </c>
      <c r="F30" s="120" t="n">
        <v>0.2</v>
      </c>
      <c r="G30" s="120" t="n">
        <v>1.7</v>
      </c>
      <c r="H30" s="115" t="n">
        <f aca="false">IFERROR(C30*C27/100,0)</f>
        <v>55</v>
      </c>
    </row>
    <row r="31" customFormat="false" ht="18.75" hidden="false" customHeight="true" outlineLevel="0" collapsed="false">
      <c r="B31" s="116" t="s">
        <v>16</v>
      </c>
      <c r="C31" s="17" t="n">
        <v>92</v>
      </c>
      <c r="D31" s="17" t="n">
        <v>1.3</v>
      </c>
      <c r="E31" s="17" t="n">
        <v>23.8</v>
      </c>
      <c r="F31" s="17" t="n">
        <v>0.1</v>
      </c>
      <c r="G31" s="17" t="n">
        <v>1.9</v>
      </c>
      <c r="H31" s="115" t="n">
        <f aca="false">IFERROR(C31*C27/100,0)</f>
        <v>92</v>
      </c>
    </row>
    <row r="32" customFormat="false" ht="18.75" hidden="false" customHeight="true" outlineLevel="0" collapsed="false">
      <c r="B32" s="119" t="s">
        <v>20</v>
      </c>
      <c r="C32" s="120" t="n">
        <v>38</v>
      </c>
      <c r="D32" s="120" t="n">
        <v>0.7</v>
      </c>
      <c r="E32" s="120" t="n">
        <v>9.3</v>
      </c>
      <c r="F32" s="120" t="n">
        <v>0.1</v>
      </c>
      <c r="G32" s="120" t="n">
        <v>1.8</v>
      </c>
      <c r="H32" s="115" t="n">
        <f aca="false">IFERROR(C32*C27/100,0)</f>
        <v>38</v>
      </c>
    </row>
    <row r="33" customFormat="false" ht="18.75" hidden="false" customHeight="true" outlineLevel="0" collapsed="false">
      <c r="B33" s="116" t="s">
        <v>26</v>
      </c>
      <c r="C33" s="17" t="n">
        <v>70</v>
      </c>
      <c r="D33" s="17" t="n">
        <v>0.5</v>
      </c>
      <c r="E33" s="17" t="n">
        <v>18.6</v>
      </c>
      <c r="F33" s="17" t="n">
        <v>0.2</v>
      </c>
      <c r="G33" s="17" t="n">
        <v>3.6</v>
      </c>
      <c r="H33" s="115" t="n">
        <f aca="false">IFERROR(C33*C27/100,0)</f>
        <v>70</v>
      </c>
    </row>
    <row r="34" customFormat="false" ht="18.75" hidden="false" customHeight="true" outlineLevel="0" collapsed="false">
      <c r="B34" s="119" t="s">
        <v>27</v>
      </c>
      <c r="C34" s="120" t="n">
        <v>74</v>
      </c>
      <c r="D34" s="120" t="n">
        <v>0.6</v>
      </c>
      <c r="E34" s="120" t="n">
        <v>19.5</v>
      </c>
      <c r="F34" s="120" t="n">
        <v>0.2</v>
      </c>
      <c r="G34" s="120" t="n">
        <v>3.6</v>
      </c>
      <c r="H34" s="115" t="n">
        <f aca="false">IFERROR(C34*C27/100,0)</f>
        <v>74</v>
      </c>
    </row>
    <row r="35" customFormat="false" ht="18.75" hidden="false" customHeight="true" outlineLevel="0" collapsed="false">
      <c r="B35" s="116" t="s">
        <v>28</v>
      </c>
      <c r="C35" s="17" t="n">
        <v>31</v>
      </c>
      <c r="D35" s="17" t="n">
        <v>0.5</v>
      </c>
      <c r="E35" s="17" t="n">
        <v>7.4</v>
      </c>
      <c r="F35" s="17" t="n">
        <v>0.1</v>
      </c>
      <c r="G35" s="17" t="n">
        <v>2.8</v>
      </c>
      <c r="H35" s="115" t="n">
        <f aca="false">IFERROR(C35*C27/100,0)</f>
        <v>31</v>
      </c>
    </row>
    <row r="36" customFormat="false" ht="18.75" hidden="false" customHeight="true" outlineLevel="0" collapsed="false">
      <c r="B36" s="119" t="s">
        <v>37</v>
      </c>
      <c r="C36" s="120" t="n">
        <v>54</v>
      </c>
      <c r="D36" s="120" t="n">
        <v>2.6</v>
      </c>
      <c r="E36" s="120" t="n">
        <v>10.1</v>
      </c>
      <c r="F36" s="120" t="n">
        <v>0.5</v>
      </c>
      <c r="G36" s="120" t="n">
        <v>6</v>
      </c>
      <c r="H36" s="115" t="n">
        <f aca="false">IFERROR(C36*C27/100,0)</f>
        <v>54</v>
      </c>
    </row>
    <row r="37" customFormat="false" ht="18.75" hidden="false" customHeight="true" outlineLevel="0" collapsed="false">
      <c r="B37" s="116" t="s">
        <v>38</v>
      </c>
      <c r="C37" s="17" t="n">
        <v>61</v>
      </c>
      <c r="D37" s="17" t="n">
        <v>1.1</v>
      </c>
      <c r="E37" s="17" t="n">
        <v>14.7</v>
      </c>
      <c r="F37" s="17" t="n">
        <v>0.6</v>
      </c>
      <c r="G37" s="17" t="n">
        <v>3</v>
      </c>
      <c r="H37" s="115" t="n">
        <f aca="false">IFERROR(C37*C27/100,0)</f>
        <v>61</v>
      </c>
    </row>
    <row r="38" customFormat="false" ht="18.75" hidden="false" customHeight="true" outlineLevel="0" collapsed="false">
      <c r="B38" s="119" t="s">
        <v>39</v>
      </c>
      <c r="C38" s="120" t="n">
        <v>46</v>
      </c>
      <c r="D38" s="120" t="n">
        <v>0.9</v>
      </c>
      <c r="E38" s="120" t="n">
        <v>11.5</v>
      </c>
      <c r="F38" s="120" t="n">
        <v>0.1</v>
      </c>
      <c r="G38" s="120" t="n">
        <v>2.2</v>
      </c>
      <c r="H38" s="115" t="n">
        <f aca="false">IFERROR(C38*C27/100,0)</f>
        <v>46</v>
      </c>
    </row>
    <row r="39" customFormat="false" ht="18.75" hidden="false" customHeight="true" outlineLevel="0" collapsed="false">
      <c r="B39" s="116" t="s">
        <v>48</v>
      </c>
      <c r="C39" s="17" t="n">
        <v>56</v>
      </c>
      <c r="D39" s="17" t="n">
        <v>0.3</v>
      </c>
      <c r="E39" s="17" t="n">
        <v>14.9</v>
      </c>
      <c r="F39" s="17" t="n">
        <v>0.1</v>
      </c>
      <c r="G39" s="17" t="n">
        <v>1.8</v>
      </c>
      <c r="H39" s="115" t="n">
        <f aca="false">IFERROR(C39*C27/100,0)</f>
        <v>56</v>
      </c>
    </row>
    <row r="40" customFormat="false" ht="18.75" hidden="false" customHeight="true" outlineLevel="0" collapsed="false">
      <c r="B40" s="119" t="s">
        <v>46</v>
      </c>
      <c r="C40" s="120" t="n">
        <v>45</v>
      </c>
      <c r="D40" s="120" t="n">
        <v>0.5</v>
      </c>
      <c r="E40" s="120" t="n">
        <v>11.9</v>
      </c>
      <c r="F40" s="120" t="n">
        <v>0.1</v>
      </c>
      <c r="G40" s="120" t="n">
        <v>1.8</v>
      </c>
      <c r="H40" s="115" t="n">
        <f aca="false">IFERROR(C40*C27/100,0)</f>
        <v>45</v>
      </c>
    </row>
    <row r="41" customFormat="false" ht="18.75" hidden="false" customHeight="true" outlineLevel="0" collapsed="false">
      <c r="B41" s="116" t="s">
        <v>47</v>
      </c>
      <c r="C41" s="17" t="n">
        <v>64</v>
      </c>
      <c r="D41" s="17" t="n">
        <v>0.6</v>
      </c>
      <c r="E41" s="17" t="n">
        <v>16.9</v>
      </c>
      <c r="F41" s="17" t="n">
        <v>0.3</v>
      </c>
      <c r="G41" s="17" t="n">
        <v>1.4</v>
      </c>
      <c r="H41" s="115" t="n">
        <f aca="false">IFERROR(C41*C27/100,0)</f>
        <v>64</v>
      </c>
    </row>
    <row r="42" customFormat="false" ht="18.75" hidden="false" customHeight="true" outlineLevel="0" collapsed="false">
      <c r="B42" s="119" t="s">
        <v>49</v>
      </c>
      <c r="C42" s="120" t="n">
        <v>33</v>
      </c>
      <c r="D42" s="120" t="n">
        <v>0.7</v>
      </c>
      <c r="E42" s="120" t="n">
        <v>8</v>
      </c>
      <c r="F42" s="120" t="n">
        <v>0.2</v>
      </c>
      <c r="G42" s="120" t="n">
        <v>0.3</v>
      </c>
      <c r="H42" s="115" t="n">
        <f aca="false">IFERROR(C42*C27/100,0)</f>
        <v>33</v>
      </c>
    </row>
    <row r="43" customFormat="false" ht="18.75" hidden="false" customHeight="true" outlineLevel="0" collapsed="false">
      <c r="B43" s="116" t="s">
        <v>50</v>
      </c>
      <c r="C43" s="17" t="n">
        <v>29</v>
      </c>
      <c r="D43" s="17" t="n">
        <v>0.7</v>
      </c>
      <c r="E43" s="17" t="n">
        <v>7.4</v>
      </c>
      <c r="F43" s="17" t="n">
        <v>0.1</v>
      </c>
      <c r="G43" s="17" t="n">
        <v>0.3</v>
      </c>
      <c r="H43" s="115" t="n">
        <f aca="false">IFERROR(C43*C27/100,0)</f>
        <v>29</v>
      </c>
    </row>
    <row r="44" customFormat="false" ht="18.75" hidden="false" customHeight="true" outlineLevel="0" collapsed="false">
      <c r="B44" s="119" t="s">
        <v>54</v>
      </c>
      <c r="C44" s="120" t="n">
        <v>30</v>
      </c>
      <c r="D44" s="120" t="n">
        <v>0.8</v>
      </c>
      <c r="E44" s="120" t="n">
        <v>7.1</v>
      </c>
      <c r="F44" s="120" t="n">
        <v>0.3</v>
      </c>
      <c r="G44" s="120" t="n">
        <v>2.1</v>
      </c>
      <c r="H44" s="115" t="n">
        <f aca="false">IFERROR(C44*C27/100,0)</f>
        <v>30</v>
      </c>
    </row>
    <row r="45" customFormat="false" ht="18.75" hidden="false" customHeight="true" outlineLevel="0" collapsed="false">
      <c r="B45" s="116" t="s">
        <v>63</v>
      </c>
      <c r="C45" s="17" t="n">
        <v>53</v>
      </c>
      <c r="D45" s="17" t="n">
        <v>0.4</v>
      </c>
      <c r="E45" s="17" t="n">
        <v>13.6</v>
      </c>
      <c r="F45" s="17" t="n">
        <v>0.1</v>
      </c>
      <c r="G45" s="17" t="n">
        <v>3</v>
      </c>
      <c r="H45" s="115" t="n">
        <f aca="false">IFERROR(C45*C27/100,0)</f>
        <v>53</v>
      </c>
    </row>
    <row r="46" customFormat="false" ht="18.75" hidden="false" customHeight="true" outlineLevel="0" collapsed="false">
      <c r="B46" s="119" t="s">
        <v>71</v>
      </c>
      <c r="C46" s="120" t="n">
        <v>43</v>
      </c>
      <c r="D46" s="120" t="n">
        <v>1.2</v>
      </c>
      <c r="E46" s="120" t="n">
        <v>9.4</v>
      </c>
      <c r="F46" s="120" t="n">
        <v>0.1</v>
      </c>
      <c r="G46" s="120" t="n">
        <v>2.1</v>
      </c>
      <c r="H46" s="115" t="n">
        <f aca="false">IFERROR(C46*C27/100,0)</f>
        <v>43</v>
      </c>
    </row>
    <row r="47" customFormat="false" ht="18.75" hidden="false" customHeight="true" outlineLevel="0" collapsed="false">
      <c r="B47" s="116" t="s">
        <v>65</v>
      </c>
      <c r="C47" s="17" t="n">
        <v>60</v>
      </c>
      <c r="D47" s="17" t="n">
        <v>1.2</v>
      </c>
      <c r="E47" s="17" t="n">
        <v>13.2</v>
      </c>
      <c r="F47" s="17" t="n">
        <v>0.4</v>
      </c>
      <c r="G47" s="17" t="n">
        <v>2.9</v>
      </c>
      <c r="H47" s="115" t="n">
        <f aca="false">IFERROR(C47*C27/100,0)</f>
        <v>60</v>
      </c>
    </row>
    <row r="48" customFormat="false" ht="18.75" hidden="false" customHeight="true" outlineLevel="0" collapsed="false">
      <c r="B48" s="119" t="s">
        <v>82</v>
      </c>
      <c r="C48" s="120" t="n">
        <v>70</v>
      </c>
      <c r="D48" s="120" t="n">
        <v>0.9</v>
      </c>
      <c r="E48" s="120" t="n">
        <v>17.5</v>
      </c>
      <c r="F48" s="120" t="n">
        <v>0.4</v>
      </c>
      <c r="G48" s="120" t="n">
        <v>0.9</v>
      </c>
      <c r="H48" s="115" t="n">
        <f aca="false">IFERROR(C48*C27/100,0)</f>
        <v>70</v>
      </c>
    </row>
    <row r="49" customFormat="false" ht="7.5" hidden="false" customHeight="true" outlineLevel="0" collapsed="false"/>
    <row r="50" customFormat="false" ht="27.75" hidden="false" customHeight="true" outlineLevel="0" collapsed="false">
      <c r="B50" s="121" t="s">
        <v>188</v>
      </c>
      <c r="C50" s="121"/>
      <c r="D50" s="121"/>
      <c r="E50" s="121"/>
      <c r="F50" s="121"/>
      <c r="G50" s="121"/>
      <c r="H50" s="121"/>
    </row>
    <row r="51" customFormat="false" ht="36" hidden="false" customHeight="true" outlineLevel="0" collapsed="false">
      <c r="B51" s="122" t="s">
        <v>0</v>
      </c>
      <c r="C51" s="7" t="s">
        <v>182</v>
      </c>
      <c r="D51" s="6" t="s">
        <v>95</v>
      </c>
      <c r="E51" s="8" t="s">
        <v>96</v>
      </c>
      <c r="F51" s="9" t="s">
        <v>97</v>
      </c>
      <c r="G51" s="110" t="s">
        <v>183</v>
      </c>
      <c r="H51" s="111" t="s">
        <v>184</v>
      </c>
    </row>
    <row r="52" customFormat="false" ht="21.75" hidden="false" customHeight="true" outlineLevel="0" collapsed="false">
      <c r="B52" s="101" t="s">
        <v>185</v>
      </c>
      <c r="C52" s="112" t="n">
        <v>100</v>
      </c>
      <c r="D52" s="112"/>
      <c r="E52" s="112"/>
      <c r="F52" s="112"/>
      <c r="G52" s="112"/>
      <c r="H52" s="113" t="s">
        <v>186</v>
      </c>
    </row>
    <row r="53" customFormat="false" ht="18.75" hidden="false" customHeight="true" outlineLevel="0" collapsed="false">
      <c r="B53" s="123" t="s">
        <v>69</v>
      </c>
      <c r="C53" s="14" t="n">
        <v>300</v>
      </c>
      <c r="D53" s="14" t="n">
        <v>8</v>
      </c>
      <c r="E53" s="14" t="n">
        <v>58.6</v>
      </c>
      <c r="F53" s="14" t="n">
        <v>3.1</v>
      </c>
      <c r="G53" s="14" t="n">
        <v>2.3</v>
      </c>
      <c r="H53" s="115" t="n">
        <f aca="false">IFERROR(C53*C52/100,0)</f>
        <v>300</v>
      </c>
    </row>
    <row r="54" customFormat="false" ht="18.75" hidden="false" customHeight="true" outlineLevel="0" collapsed="false">
      <c r="B54" s="116" t="s">
        <v>70</v>
      </c>
      <c r="C54" s="17" t="n">
        <v>253</v>
      </c>
      <c r="D54" s="17" t="n">
        <v>8.8</v>
      </c>
      <c r="E54" s="17" t="n">
        <v>46.7</v>
      </c>
      <c r="F54" s="17" t="n">
        <v>3.5</v>
      </c>
      <c r="G54" s="17" t="n">
        <v>5.7</v>
      </c>
      <c r="H54" s="115" t="n">
        <f aca="false">IFERROR(C54*C52/100,0)</f>
        <v>253</v>
      </c>
    </row>
    <row r="55" customFormat="false" ht="18.75" hidden="false" customHeight="true" outlineLevel="0" collapsed="false">
      <c r="B55" s="123" t="s">
        <v>68</v>
      </c>
      <c r="C55" s="14" t="n">
        <v>280</v>
      </c>
      <c r="D55" s="14" t="n">
        <v>8</v>
      </c>
      <c r="E55" s="14" t="n">
        <v>50</v>
      </c>
      <c r="F55" s="14" t="n">
        <v>5</v>
      </c>
      <c r="G55" s="14" t="n">
        <v>2</v>
      </c>
      <c r="H55" s="115" t="n">
        <f aca="false">IFERROR(C55*C52/100,0)</f>
        <v>280</v>
      </c>
    </row>
    <row r="56" customFormat="false" ht="18.75" hidden="false" customHeight="true" outlineLevel="0" collapsed="false">
      <c r="B56" s="116" t="s">
        <v>81</v>
      </c>
      <c r="C56" s="17" t="n">
        <v>390</v>
      </c>
      <c r="D56" s="17" t="n">
        <v>11</v>
      </c>
      <c r="E56" s="17" t="n">
        <v>74</v>
      </c>
      <c r="F56" s="17" t="n">
        <v>5.5</v>
      </c>
      <c r="G56" s="17" t="n">
        <v>5</v>
      </c>
      <c r="H56" s="115" t="n">
        <f aca="false">IFERROR(C56*C52/100,0)</f>
        <v>390</v>
      </c>
    </row>
    <row r="57" customFormat="false" ht="18.75" hidden="false" customHeight="true" outlineLevel="0" collapsed="false">
      <c r="B57" s="123" t="s">
        <v>80</v>
      </c>
      <c r="C57" s="14" t="n">
        <v>380</v>
      </c>
      <c r="D57" s="14" t="n">
        <v>11.5</v>
      </c>
      <c r="E57" s="14" t="n">
        <v>72</v>
      </c>
      <c r="F57" s="14" t="n">
        <v>4.8</v>
      </c>
      <c r="G57" s="14" t="n">
        <v>6</v>
      </c>
      <c r="H57" s="115" t="n">
        <f aca="false">IFERROR(C57*C52/100,0)</f>
        <v>380</v>
      </c>
    </row>
    <row r="58" customFormat="false" ht="18.75" hidden="false" customHeight="true" outlineLevel="0" collapsed="false">
      <c r="B58" s="116" t="s">
        <v>78</v>
      </c>
      <c r="C58" s="17" t="n">
        <v>354</v>
      </c>
      <c r="D58" s="17" t="n">
        <v>0.1</v>
      </c>
      <c r="E58" s="17" t="n">
        <v>87.8</v>
      </c>
      <c r="F58" s="17" t="n">
        <v>0.3</v>
      </c>
      <c r="G58" s="17" t="n">
        <v>0.2</v>
      </c>
      <c r="H58" s="115" t="n">
        <f aca="false">IFERROR(C58*C52/100,0)</f>
        <v>354</v>
      </c>
    </row>
    <row r="59" customFormat="false" ht="7.5" hidden="false" customHeight="true" outlineLevel="0" collapsed="false"/>
    <row r="60" customFormat="false" ht="27.75" hidden="false" customHeight="true" outlineLevel="0" collapsed="false">
      <c r="B60" s="124" t="s">
        <v>189</v>
      </c>
      <c r="C60" s="124"/>
      <c r="D60" s="124"/>
      <c r="E60" s="124"/>
      <c r="F60" s="124"/>
      <c r="G60" s="124"/>
      <c r="H60" s="124"/>
    </row>
    <row r="61" customFormat="false" ht="36" hidden="false" customHeight="true" outlineLevel="0" collapsed="false">
      <c r="B61" s="7" t="s">
        <v>0</v>
      </c>
      <c r="C61" s="7" t="s">
        <v>182</v>
      </c>
      <c r="D61" s="6" t="s">
        <v>95</v>
      </c>
      <c r="E61" s="8" t="s">
        <v>96</v>
      </c>
      <c r="F61" s="9" t="s">
        <v>97</v>
      </c>
      <c r="G61" s="110" t="s">
        <v>183</v>
      </c>
      <c r="H61" s="111" t="s">
        <v>184</v>
      </c>
    </row>
    <row r="62" customFormat="false" ht="21.75" hidden="false" customHeight="true" outlineLevel="0" collapsed="false">
      <c r="B62" s="101" t="s">
        <v>185</v>
      </c>
      <c r="C62" s="112" t="n">
        <v>100</v>
      </c>
      <c r="D62" s="112"/>
      <c r="E62" s="112"/>
      <c r="F62" s="112"/>
      <c r="G62" s="112"/>
      <c r="H62" s="113" t="s">
        <v>186</v>
      </c>
    </row>
    <row r="63" customFormat="false" ht="18.75" hidden="false" customHeight="true" outlineLevel="0" collapsed="false">
      <c r="B63" s="125" t="s">
        <v>9</v>
      </c>
      <c r="C63" s="126" t="n">
        <v>237</v>
      </c>
      <c r="D63" s="126" t="n">
        <v>32.8</v>
      </c>
      <c r="E63" s="126" t="n">
        <v>0</v>
      </c>
      <c r="F63" s="126" t="n">
        <v>11.4</v>
      </c>
      <c r="G63" s="126" t="n">
        <v>0</v>
      </c>
      <c r="H63" s="115" t="n">
        <f aca="false">IFERROR(C63*C62/100,0)</f>
        <v>237</v>
      </c>
    </row>
    <row r="64" customFormat="false" ht="18.75" hidden="false" customHeight="true" outlineLevel="0" collapsed="false">
      <c r="B64" s="116" t="s">
        <v>10</v>
      </c>
      <c r="C64" s="17" t="n">
        <v>245</v>
      </c>
      <c r="D64" s="17" t="n">
        <v>30</v>
      </c>
      <c r="E64" s="17" t="n">
        <v>0</v>
      </c>
      <c r="F64" s="17" t="n">
        <v>14</v>
      </c>
      <c r="G64" s="17" t="n">
        <v>0</v>
      </c>
      <c r="H64" s="115" t="n">
        <f aca="false">IFERROR(C64*C62/100,0)</f>
        <v>245</v>
      </c>
    </row>
    <row r="65" customFormat="false" ht="18.75" hidden="false" customHeight="true" outlineLevel="0" collapsed="false">
      <c r="B65" s="125" t="s">
        <v>15</v>
      </c>
      <c r="C65" s="126" t="n">
        <v>119</v>
      </c>
      <c r="D65" s="126" t="n">
        <v>26.3</v>
      </c>
      <c r="E65" s="126" t="n">
        <v>0</v>
      </c>
      <c r="F65" s="126" t="n">
        <v>1.3</v>
      </c>
      <c r="G65" s="126" t="n">
        <v>0</v>
      </c>
      <c r="H65" s="115" t="n">
        <f aca="false">IFERROR(C65*C62/100,0)</f>
        <v>119</v>
      </c>
    </row>
    <row r="66" customFormat="false" ht="18.75" hidden="false" customHeight="true" outlineLevel="0" collapsed="false">
      <c r="B66" s="116" t="s">
        <v>21</v>
      </c>
      <c r="C66" s="17" t="n">
        <v>237</v>
      </c>
      <c r="D66" s="17" t="n">
        <v>32.8</v>
      </c>
      <c r="E66" s="17" t="n">
        <v>0</v>
      </c>
      <c r="F66" s="17" t="n">
        <v>11.4</v>
      </c>
      <c r="G66" s="17" t="n">
        <v>0</v>
      </c>
      <c r="H66" s="115" t="n">
        <f aca="false">IFERROR(C66*C62/100,0)</f>
        <v>237</v>
      </c>
    </row>
    <row r="67" customFormat="false" ht="18.75" hidden="false" customHeight="true" outlineLevel="0" collapsed="false">
      <c r="B67" s="125" t="s">
        <v>24</v>
      </c>
      <c r="C67" s="126" t="n">
        <v>115</v>
      </c>
      <c r="D67" s="126" t="n">
        <v>24.4</v>
      </c>
      <c r="E67" s="126" t="n">
        <v>0</v>
      </c>
      <c r="F67" s="126" t="n">
        <v>1.5</v>
      </c>
      <c r="G67" s="126" t="n">
        <v>0</v>
      </c>
      <c r="H67" s="115" t="n">
        <f aca="false">IFERROR(C67*C62/100,0)</f>
        <v>115</v>
      </c>
    </row>
    <row r="68" customFormat="false" ht="18.75" hidden="false" customHeight="true" outlineLevel="0" collapsed="false">
      <c r="B68" s="116" t="s">
        <v>25</v>
      </c>
      <c r="C68" s="17" t="n">
        <v>120</v>
      </c>
      <c r="D68" s="17" t="n">
        <v>25</v>
      </c>
      <c r="E68" s="17" t="n">
        <v>0</v>
      </c>
      <c r="F68" s="17" t="n">
        <v>1.8</v>
      </c>
      <c r="G68" s="17" t="n">
        <v>0</v>
      </c>
      <c r="H68" s="115" t="n">
        <f aca="false">IFERROR(C68*C62/100,0)</f>
        <v>120</v>
      </c>
    </row>
    <row r="69" customFormat="false" ht="18.75" hidden="false" customHeight="true" outlineLevel="0" collapsed="false">
      <c r="B69" s="125" t="s">
        <v>29</v>
      </c>
      <c r="C69" s="126" t="n">
        <v>219</v>
      </c>
      <c r="D69" s="126" t="n">
        <v>35</v>
      </c>
      <c r="E69" s="126" t="n">
        <v>0</v>
      </c>
      <c r="F69" s="126" t="n">
        <v>8.5</v>
      </c>
      <c r="G69" s="126" t="n">
        <v>0</v>
      </c>
      <c r="H69" s="115" t="n">
        <f aca="false">IFERROR(C69*C62/100,0)</f>
        <v>219</v>
      </c>
    </row>
    <row r="70" customFormat="false" ht="18.75" hidden="false" customHeight="true" outlineLevel="0" collapsed="false">
      <c r="B70" s="116" t="s">
        <v>36</v>
      </c>
      <c r="C70" s="17" t="n">
        <v>134</v>
      </c>
      <c r="D70" s="17" t="n">
        <v>22.5</v>
      </c>
      <c r="E70" s="17" t="n">
        <v>3.9</v>
      </c>
      <c r="F70" s="17" t="n">
        <v>3.8</v>
      </c>
      <c r="G70" s="17" t="n">
        <v>0</v>
      </c>
      <c r="H70" s="115" t="n">
        <f aca="false">IFERROR(C70*C62/100,0)</f>
        <v>134</v>
      </c>
    </row>
    <row r="71" customFormat="false" ht="18.75" hidden="false" customHeight="true" outlineLevel="0" collapsed="false">
      <c r="B71" s="125" t="s">
        <v>35</v>
      </c>
      <c r="C71" s="126" t="n">
        <v>163</v>
      </c>
      <c r="D71" s="126" t="n">
        <v>31.5</v>
      </c>
      <c r="E71" s="126" t="n">
        <v>0</v>
      </c>
      <c r="F71" s="126" t="n">
        <v>3.7</v>
      </c>
      <c r="G71" s="126" t="n">
        <v>0</v>
      </c>
      <c r="H71" s="115" t="n">
        <f aca="false">IFERROR(C71*C62/100,0)</f>
        <v>163</v>
      </c>
    </row>
    <row r="72" customFormat="false" ht="18.75" hidden="false" customHeight="true" outlineLevel="0" collapsed="false">
      <c r="B72" s="116" t="s">
        <v>42</v>
      </c>
      <c r="C72" s="17" t="n">
        <v>206</v>
      </c>
      <c r="D72" s="17" t="n">
        <v>29</v>
      </c>
      <c r="E72" s="17" t="n">
        <v>0</v>
      </c>
      <c r="F72" s="17" t="n">
        <v>9.5</v>
      </c>
      <c r="G72" s="17" t="n">
        <v>0</v>
      </c>
      <c r="H72" s="115" t="n">
        <f aca="false">IFERROR(C72*C62/100,0)</f>
        <v>206</v>
      </c>
    </row>
    <row r="73" customFormat="false" ht="18.75" hidden="false" customHeight="true" outlineLevel="0" collapsed="false">
      <c r="B73" s="125" t="s">
        <v>43</v>
      </c>
      <c r="C73" s="126" t="n">
        <v>195</v>
      </c>
      <c r="D73" s="126" t="n">
        <v>28</v>
      </c>
      <c r="E73" s="126" t="n">
        <v>0</v>
      </c>
      <c r="F73" s="126" t="n">
        <v>8.8</v>
      </c>
      <c r="G73" s="126" t="n">
        <v>0</v>
      </c>
      <c r="H73" s="115" t="n">
        <f aca="false">IFERROR(C73*C62/100,0)</f>
        <v>195</v>
      </c>
    </row>
    <row r="74" customFormat="false" ht="18.75" hidden="false" customHeight="true" outlineLevel="0" collapsed="false">
      <c r="B74" s="116" t="s">
        <v>51</v>
      </c>
      <c r="C74" s="17" t="n">
        <v>140</v>
      </c>
      <c r="D74" s="17" t="n">
        <v>26</v>
      </c>
      <c r="E74" s="17" t="n">
        <v>0</v>
      </c>
      <c r="F74" s="17" t="n">
        <v>3.5</v>
      </c>
      <c r="G74" s="17" t="n">
        <v>0</v>
      </c>
      <c r="H74" s="115" t="n">
        <f aca="false">IFERROR(C74*C62/100,0)</f>
        <v>140</v>
      </c>
    </row>
    <row r="75" customFormat="false" ht="18.75" hidden="false" customHeight="true" outlineLevel="0" collapsed="false">
      <c r="B75" s="125" t="s">
        <v>55</v>
      </c>
      <c r="C75" s="126" t="n">
        <v>146</v>
      </c>
      <c r="D75" s="126" t="n">
        <v>13.3</v>
      </c>
      <c r="E75" s="126" t="n">
        <v>0.6</v>
      </c>
      <c r="F75" s="126" t="n">
        <v>10</v>
      </c>
      <c r="G75" s="126" t="n">
        <v>0</v>
      </c>
      <c r="H75" s="115" t="n">
        <f aca="false">IFERROR(C75*C62/100,0)</f>
        <v>146</v>
      </c>
    </row>
    <row r="76" customFormat="false" ht="18.75" hidden="false" customHeight="true" outlineLevel="0" collapsed="false">
      <c r="B76" s="116" t="s">
        <v>56</v>
      </c>
      <c r="C76" s="17" t="n">
        <v>225</v>
      </c>
      <c r="D76" s="17" t="n">
        <v>28</v>
      </c>
      <c r="E76" s="17" t="n">
        <v>0</v>
      </c>
      <c r="F76" s="17" t="n">
        <v>12</v>
      </c>
      <c r="G76" s="17" t="n">
        <v>0</v>
      </c>
      <c r="H76" s="115" t="n">
        <f aca="false">IFERROR(C76*C62/100,0)</f>
        <v>225</v>
      </c>
    </row>
    <row r="77" customFormat="false" ht="18.75" hidden="false" customHeight="true" outlineLevel="0" collapsed="false">
      <c r="B77" s="125" t="s">
        <v>58</v>
      </c>
      <c r="C77" s="126" t="n">
        <v>163</v>
      </c>
      <c r="D77" s="126" t="n">
        <v>31.5</v>
      </c>
      <c r="E77" s="126" t="n">
        <v>0</v>
      </c>
      <c r="F77" s="126" t="n">
        <v>3.7</v>
      </c>
      <c r="G77" s="126" t="n">
        <v>0</v>
      </c>
      <c r="H77" s="115" t="n">
        <f aca="false">IFERROR(C77*C62/100,0)</f>
        <v>163</v>
      </c>
    </row>
    <row r="78" customFormat="false" ht="18.75" hidden="false" customHeight="true" outlineLevel="0" collapsed="false">
      <c r="B78" s="116" t="s">
        <v>59</v>
      </c>
      <c r="C78" s="17" t="n">
        <v>159</v>
      </c>
      <c r="D78" s="17" t="n">
        <v>32</v>
      </c>
      <c r="E78" s="17" t="n">
        <v>0</v>
      </c>
      <c r="F78" s="17" t="n">
        <v>3.2</v>
      </c>
      <c r="G78" s="17" t="n">
        <v>0</v>
      </c>
      <c r="H78" s="115" t="n">
        <f aca="false">IFERROR(C78*C62/100,0)</f>
        <v>159</v>
      </c>
    </row>
    <row r="79" customFormat="false" ht="18.75" hidden="false" customHeight="true" outlineLevel="0" collapsed="false">
      <c r="B79" s="125" t="s">
        <v>61</v>
      </c>
      <c r="C79" s="126" t="n">
        <v>122</v>
      </c>
      <c r="D79" s="126" t="n">
        <v>24</v>
      </c>
      <c r="E79" s="126" t="n">
        <v>0</v>
      </c>
      <c r="F79" s="126" t="n">
        <v>2.5</v>
      </c>
      <c r="G79" s="126" t="n">
        <v>0</v>
      </c>
      <c r="H79" s="115" t="n">
        <f aca="false">IFERROR(C79*C62/100,0)</f>
        <v>122</v>
      </c>
    </row>
    <row r="80" customFormat="false" ht="18.75" hidden="false" customHeight="true" outlineLevel="0" collapsed="false">
      <c r="B80" s="116" t="s">
        <v>62</v>
      </c>
      <c r="C80" s="17" t="n">
        <v>128</v>
      </c>
      <c r="D80" s="17" t="n">
        <v>25</v>
      </c>
      <c r="E80" s="17" t="n">
        <v>0</v>
      </c>
      <c r="F80" s="17" t="n">
        <v>2.8</v>
      </c>
      <c r="G80" s="17" t="n">
        <v>0</v>
      </c>
      <c r="H80" s="115" t="n">
        <f aca="false">IFERROR(C80*C62/100,0)</f>
        <v>128</v>
      </c>
    </row>
    <row r="81" customFormat="false" ht="18.75" hidden="false" customHeight="true" outlineLevel="0" collapsed="false">
      <c r="B81" s="125" t="s">
        <v>64</v>
      </c>
      <c r="C81" s="126" t="n">
        <v>232</v>
      </c>
      <c r="D81" s="126" t="n">
        <v>27</v>
      </c>
      <c r="E81" s="126" t="n">
        <v>0</v>
      </c>
      <c r="F81" s="126" t="n">
        <v>13</v>
      </c>
      <c r="G81" s="126" t="n">
        <v>0</v>
      </c>
      <c r="H81" s="115" t="n">
        <f aca="false">IFERROR(C81*C62/100,0)</f>
        <v>232</v>
      </c>
    </row>
    <row r="82" customFormat="false" ht="18.75" hidden="false" customHeight="true" outlineLevel="0" collapsed="false">
      <c r="B82" s="116" t="s">
        <v>75</v>
      </c>
      <c r="C82" s="17" t="n">
        <v>246</v>
      </c>
      <c r="D82" s="17" t="n">
        <v>27.3</v>
      </c>
      <c r="E82" s="17" t="n">
        <v>0</v>
      </c>
      <c r="F82" s="17" t="n">
        <v>15</v>
      </c>
      <c r="G82" s="17" t="n">
        <v>0</v>
      </c>
      <c r="H82" s="115" t="n">
        <f aca="false">IFERROR(C82*C62/100,0)</f>
        <v>246</v>
      </c>
    </row>
    <row r="83" customFormat="false" ht="18.75" hidden="false" customHeight="true" outlineLevel="0" collapsed="false">
      <c r="B83" s="125" t="s">
        <v>76</v>
      </c>
      <c r="C83" s="126" t="n">
        <v>215</v>
      </c>
      <c r="D83" s="126" t="n">
        <v>21</v>
      </c>
      <c r="E83" s="126" t="n">
        <v>0</v>
      </c>
      <c r="F83" s="126" t="n">
        <v>14</v>
      </c>
      <c r="G83" s="126" t="n">
        <v>0</v>
      </c>
      <c r="H83" s="115" t="n">
        <f aca="false">IFERROR(C83*C62/100,0)</f>
        <v>215</v>
      </c>
    </row>
    <row r="84" customFormat="false" ht="7.5" hidden="false" customHeight="true" outlineLevel="0" collapsed="false"/>
  </sheetData>
  <mergeCells count="17">
    <mergeCell ref="B2:H2"/>
    <mergeCell ref="B3:H3"/>
    <mergeCell ref="B5:H5"/>
    <mergeCell ref="C6:D6"/>
    <mergeCell ref="G6:H6"/>
    <mergeCell ref="C7:D7"/>
    <mergeCell ref="G7:H7"/>
    <mergeCell ref="B8:F8"/>
    <mergeCell ref="G8:H8"/>
    <mergeCell ref="B10:H10"/>
    <mergeCell ref="C12:G12"/>
    <mergeCell ref="B25:H25"/>
    <mergeCell ref="C27:G27"/>
    <mergeCell ref="B50:H50"/>
    <mergeCell ref="C52:G52"/>
    <mergeCell ref="B60:H60"/>
    <mergeCell ref="C62:G62"/>
  </mergeCells>
  <dataValidations count="2">
    <dataValidation allowBlank="true" errorStyle="stop" operator="between" prompt="▼ Escolha da lista completa" promptTitle="Selecionar alimento" showDropDown="false" showErrorMessage="false" showInputMessage="false" sqref="C6" type="list">
      <formula1>_Listas!$A$2:$A$80</formula1>
      <formula2>0</formula2>
    </dataValidation>
    <dataValidation allowBlank="true" errorStyle="stop" operator="between" prompt="▼ Escolha da lista completa" promptTitle="Selecionar alimento" showDropDown="false" showErrorMessage="false" showInputMessage="false" sqref="C7" type="list">
      <formula1>_Listas!$A$2:$A$80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2026-03-10T21:40:14Z</dcterms:created>
  <dc:creator>openpyxl</dc:creator>
  <dc:description/>
  <dc:language>en-US</dc:language>
  <cp:lastModifiedBy/>
  <dcterms:modified xsi:type="dcterms:W3CDTF">2026-03-10T21:40:15Z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