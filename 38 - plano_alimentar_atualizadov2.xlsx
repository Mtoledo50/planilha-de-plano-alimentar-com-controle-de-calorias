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📋 Tabela de Alimentos" sheetId="1" state="visible" r:id="rId3"/>
    <sheet name="🍽️ Plano do Dia" sheetId="2" state="visible" r:id="rId4"/>
    <sheet name="📊 Dashboard de Macros" sheetId="3" state="visible" r:id="rId5"/>
    <sheet name="🔧 Lista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<sst xmlns="http://schemas.openxmlformats.org/spreadsheetml/2006/main" count="746" uniqueCount="377">
  <si>
    <t xml:space="preserve">📋  TABELA NUTRICIONAL DE ALIMENTOS — Fonte: TACO/UNICAMP · TBCA/USP</t>
  </si>
  <si>
    <t xml:space="preserve">Valores por 100g de alimento. Fonte: Tabela TACO 4ª Ed. (NEPA/UNICAMP) e TBCA/USP. Consulte sempre um nutricionista para orientação personalizada.</t>
  </si>
  <si>
    <t xml:space="preserve">Legenda de categorias:</t>
  </si>
  <si>
    <t xml:space="preserve">Alimento</t>
  </si>
  <si>
    <t xml:space="preserve">Categoria</t>
  </si>
  <si>
    <t xml:space="preserve">Kcal
/100g</t>
  </si>
  <si>
    <t xml:space="preserve">Proteínas
(g/100g)</t>
  </si>
  <si>
    <t xml:space="preserve">Carboidratos
(g/100g)</t>
  </si>
  <si>
    <t xml:space="preserve">Gorduras
(g/100g)</t>
  </si>
  <si>
    <t xml:space="preserve">Fibras
(g/100g)</t>
  </si>
  <si>
    <t xml:space="preserve">Kcal
por grama</t>
  </si>
  <si>
    <t xml:space="preserve">Observação / Fonte</t>
  </si>
  <si>
    <t xml:space="preserve">  🌾 Carboidratos / Cereais e Derivados</t>
  </si>
  <si>
    <t xml:space="preserve">Arroz branco cozido</t>
  </si>
  <si>
    <t xml:space="preserve">🌾 Carboidratos / Cereais e Derivados</t>
  </si>
  <si>
    <t xml:space="preserve">TACO - porção 100g cozido</t>
  </si>
  <si>
    <t xml:space="preserve">Arroz integral cozido</t>
  </si>
  <si>
    <t xml:space="preserve">TACO - mais fibras que o branco</t>
  </si>
  <si>
    <t xml:space="preserve">Macarrão cozido</t>
  </si>
  <si>
    <t xml:space="preserve">TACO - sem molho</t>
  </si>
  <si>
    <t xml:space="preserve">Macarrão integral cozido</t>
  </si>
  <si>
    <t xml:space="preserve">TACO - mais fibras</t>
  </si>
  <si>
    <t xml:space="preserve">Pão francês</t>
  </si>
  <si>
    <t xml:space="preserve">TACO - 50g = 1 unidade</t>
  </si>
  <si>
    <t xml:space="preserve">Pão integral</t>
  </si>
  <si>
    <t xml:space="preserve">TACO - fonte de fibras</t>
  </si>
  <si>
    <t xml:space="preserve">Aveia em flocos</t>
  </si>
  <si>
    <t xml:space="preserve">TACO - excelente fibra solúvel</t>
  </si>
  <si>
    <t xml:space="preserve">Batata inglesa cozida</t>
  </si>
  <si>
    <t xml:space="preserve">TACO - sem pele</t>
  </si>
  <si>
    <t xml:space="preserve">Batata doce cozida</t>
  </si>
  <si>
    <t xml:space="preserve">TACO - índice glicêmico médio</t>
  </si>
  <si>
    <t xml:space="preserve">Mandioca cozida</t>
  </si>
  <si>
    <t xml:space="preserve">TACO - aipim/macaxeira</t>
  </si>
  <si>
    <t xml:space="preserve">Tapioca (goma)</t>
  </si>
  <si>
    <t xml:space="preserve">TACO - alta em carboidrato</t>
  </si>
  <si>
    <t xml:space="preserve">Cuscuz de milho</t>
  </si>
  <si>
    <t xml:space="preserve">TACO - seco</t>
  </si>
  <si>
    <t xml:space="preserve">Quinoa cozida</t>
  </si>
  <si>
    <t xml:space="preserve">TBCA/USP - grão completo</t>
  </si>
  <si>
    <t xml:space="preserve">Granola</t>
  </si>
  <si>
    <t xml:space="preserve">TACO - verificar açúcar</t>
  </si>
  <si>
    <t xml:space="preserve">  🥩 Proteínas Animais — Carnes e Peixes</t>
  </si>
  <si>
    <t xml:space="preserve">Frango filé grelhado</t>
  </si>
  <si>
    <t xml:space="preserve">🥩 Proteínas Animais — Carnes e Peixes</t>
  </si>
  <si>
    <t xml:space="preserve">TACO - peito sem pele</t>
  </si>
  <si>
    <t xml:space="preserve">Frango coxa s/ pele grelhada</t>
  </si>
  <si>
    <t xml:space="preserve">TACO - coxa sem pele</t>
  </si>
  <si>
    <t xml:space="preserve">Carne bovina patinho grelhado</t>
  </si>
  <si>
    <t xml:space="preserve">TACO - corte magro</t>
  </si>
  <si>
    <t xml:space="preserve">Carne bovina alcatra grelhada</t>
  </si>
  <si>
    <t xml:space="preserve">TACO</t>
  </si>
  <si>
    <t xml:space="preserve">Tilápia grelhada</t>
  </si>
  <si>
    <t xml:space="preserve">TACO - peixe magro</t>
  </si>
  <si>
    <t xml:space="preserve">Salmão assado</t>
  </si>
  <si>
    <t xml:space="preserve">TACO - rico em ômega-3</t>
  </si>
  <si>
    <t xml:space="preserve">Atum em água (lata)</t>
  </si>
  <si>
    <t xml:space="preserve">TACO - sem óleo</t>
  </si>
  <si>
    <t xml:space="preserve">Sardinha assada</t>
  </si>
  <si>
    <t xml:space="preserve">TACO - com osso</t>
  </si>
  <si>
    <t xml:space="preserve">Camarão cozido</t>
  </si>
  <si>
    <t xml:space="preserve">Ovo inteiro cozido</t>
  </si>
  <si>
    <t xml:space="preserve">TACO - 1 ovo ≈ 50g</t>
  </si>
  <si>
    <t xml:space="preserve">Clara de ovo cozida</t>
  </si>
  <si>
    <t xml:space="preserve">TACO - baixa caloria</t>
  </si>
  <si>
    <t xml:space="preserve">Bisteca suína grelhada</t>
  </si>
  <si>
    <t xml:space="preserve">Peito de peru fatiado</t>
  </si>
  <si>
    <t xml:space="preserve">TACO — 1 fatia ≈ 15g = ~16 kcal. Baixo teor de gordura</t>
  </si>
  <si>
    <t xml:space="preserve">  🫘 Proteínas Vegetais — Leguminosas</t>
  </si>
  <si>
    <t xml:space="preserve">Feijão preto cozido</t>
  </si>
  <si>
    <t xml:space="preserve">🫘 Proteínas Vegetais — Leguminosas</t>
  </si>
  <si>
    <t xml:space="preserve">TACO - rico em ferro</t>
  </si>
  <si>
    <t xml:space="preserve">Feijão carioca cozido</t>
  </si>
  <si>
    <t xml:space="preserve">TACO - mais consumido no BR</t>
  </si>
  <si>
    <t xml:space="preserve">Lentilha cozida</t>
  </si>
  <si>
    <t xml:space="preserve">Grão-de-bico cozido</t>
  </si>
  <si>
    <t xml:space="preserve">TACO - proteína completa</t>
  </si>
  <si>
    <t xml:space="preserve">Ervilha cozida</t>
  </si>
  <si>
    <t xml:space="preserve">Soja cozida</t>
  </si>
  <si>
    <t xml:space="preserve">TACO - proteína vegetal completa</t>
  </si>
  <si>
    <t xml:space="preserve">Tofu</t>
  </si>
  <si>
    <t xml:space="preserve">TBCA/USP - proteína vegetal</t>
  </si>
  <si>
    <t xml:space="preserve">Edamame cozido</t>
  </si>
  <si>
    <t xml:space="preserve">TBCA/USP - soja verde</t>
  </si>
  <si>
    <t xml:space="preserve">  🥛 Laticínios e Ovos</t>
  </si>
  <si>
    <t xml:space="preserve">Leite integral</t>
  </si>
  <si>
    <t xml:space="preserve">🥛 Laticínios e Ovos</t>
  </si>
  <si>
    <t xml:space="preserve">Leite desnatado</t>
  </si>
  <si>
    <t xml:space="preserve">TACO - menos gordura</t>
  </si>
  <si>
    <t xml:space="preserve">Iogurte natural integral</t>
  </si>
  <si>
    <t xml:space="preserve">Iogurte grego natural</t>
  </si>
  <si>
    <t xml:space="preserve">TBCA - proteína alta</t>
  </si>
  <si>
    <t xml:space="preserve">Queijo cottage</t>
  </si>
  <si>
    <t xml:space="preserve">Queijo mussarela</t>
  </si>
  <si>
    <t xml:space="preserve">Queijo parmesão</t>
  </si>
  <si>
    <t xml:space="preserve">TACO - alto cálcio</t>
  </si>
  <si>
    <t xml:space="preserve">Cream cheese</t>
  </si>
  <si>
    <t xml:space="preserve">Requeijão light</t>
  </si>
  <si>
    <t xml:space="preserve">TACO — aprox. 152kcal/100g. 15g = ~23 kcal</t>
  </si>
  <si>
    <t xml:space="preserve">  🥗 Saladas e Folhosos</t>
  </si>
  <si>
    <t xml:space="preserve">Alface crespa crua</t>
  </si>
  <si>
    <t xml:space="preserve">🥗 Saladas e Folhosos</t>
  </si>
  <si>
    <t xml:space="preserve">TACO - base de saladas</t>
  </si>
  <si>
    <t xml:space="preserve">Alface americana crua</t>
  </si>
  <si>
    <t xml:space="preserve">Rúcula crua</t>
  </si>
  <si>
    <t xml:space="preserve">TACO - rica em cálcio</t>
  </si>
  <si>
    <t xml:space="preserve">Espinafre cru</t>
  </si>
  <si>
    <t xml:space="preserve">Repolho cru</t>
  </si>
  <si>
    <t xml:space="preserve">Acelga crua</t>
  </si>
  <si>
    <t xml:space="preserve">Agrião cru</t>
  </si>
  <si>
    <t xml:space="preserve">Couve crua</t>
  </si>
  <si>
    <t xml:space="preserve">TACO - rica em ferro e cálcio</t>
  </si>
  <si>
    <t xml:space="preserve">Tomate cru</t>
  </si>
  <si>
    <t xml:space="preserve">TACO - licopeno</t>
  </si>
  <si>
    <t xml:space="preserve">Pepino cru</t>
  </si>
  <si>
    <t xml:space="preserve">TACO - hidratante</t>
  </si>
  <si>
    <t xml:space="preserve">Cenoura crua</t>
  </si>
  <si>
    <t xml:space="preserve">TACO - betacaroteno</t>
  </si>
  <si>
    <t xml:space="preserve">Beterraba crua</t>
  </si>
  <si>
    <t xml:space="preserve">Rabanete cru</t>
  </si>
  <si>
    <t xml:space="preserve">Cebola crua</t>
  </si>
  <si>
    <t xml:space="preserve">Alho cru</t>
  </si>
  <si>
    <t xml:space="preserve">TACO - antioxidante</t>
  </si>
  <si>
    <t xml:space="preserve">  🥦 Legumes e Verduras Cozidas</t>
  </si>
  <si>
    <t xml:space="preserve">Brócolis cozido</t>
  </si>
  <si>
    <t xml:space="preserve">🥦 Legumes e Verduras Cozidas</t>
  </si>
  <si>
    <t xml:space="preserve">TACO - vitamina C e K</t>
  </si>
  <si>
    <t xml:space="preserve">Couve-flor cozida</t>
  </si>
  <si>
    <t xml:space="preserve">Abobrinha cozida</t>
  </si>
  <si>
    <t xml:space="preserve">Berinjela cozida</t>
  </si>
  <si>
    <t xml:space="preserve">Chuchu cozido</t>
  </si>
  <si>
    <t xml:space="preserve">Vagem cozida</t>
  </si>
  <si>
    <t xml:space="preserve">Pimentão vermelho cru</t>
  </si>
  <si>
    <t xml:space="preserve">TACO - rico em vit C</t>
  </si>
  <si>
    <t xml:space="preserve">Pimentão verde cru</t>
  </si>
  <si>
    <t xml:space="preserve">Milho cozido</t>
  </si>
  <si>
    <t xml:space="preserve">Mandioquinha cozida</t>
  </si>
  <si>
    <t xml:space="preserve">TACO - batata baroa</t>
  </si>
  <si>
    <t xml:space="preserve">Abóbora cozida</t>
  </si>
  <si>
    <t xml:space="preserve">Palmito cozido</t>
  </si>
  <si>
    <t xml:space="preserve">  🍎 Frutas</t>
  </si>
  <si>
    <t xml:space="preserve">Banana nanica</t>
  </si>
  <si>
    <t xml:space="preserve">🍎 Frutas</t>
  </si>
  <si>
    <t xml:space="preserve">TACO - energia rápida</t>
  </si>
  <si>
    <t xml:space="preserve">Banana prata</t>
  </si>
  <si>
    <t xml:space="preserve">Maçã com casca</t>
  </si>
  <si>
    <t xml:space="preserve">TACO - fibras na casca</t>
  </si>
  <si>
    <t xml:space="preserve">Laranja pera</t>
  </si>
  <si>
    <t xml:space="preserve">TACO - vitamina C</t>
  </si>
  <si>
    <t xml:space="preserve">Melão</t>
  </si>
  <si>
    <t xml:space="preserve">Melancia</t>
  </si>
  <si>
    <t xml:space="preserve">Mamão papaya</t>
  </si>
  <si>
    <t xml:space="preserve">TACO - digestivo</t>
  </si>
  <si>
    <t xml:space="preserve">Manga espada</t>
  </si>
  <si>
    <t xml:space="preserve">Abacaxi</t>
  </si>
  <si>
    <t xml:space="preserve">TACO - bromelina</t>
  </si>
  <si>
    <t xml:space="preserve">Morango</t>
  </si>
  <si>
    <t xml:space="preserve">Uva niagara</t>
  </si>
  <si>
    <t xml:space="preserve">Kiwi</t>
  </si>
  <si>
    <t xml:space="preserve">TBCA - vitamina C</t>
  </si>
  <si>
    <t xml:space="preserve">Abacate</t>
  </si>
  <si>
    <t xml:space="preserve">TACO - gordura saudável</t>
  </si>
  <si>
    <t xml:space="preserve">Coco fresco (polpa)</t>
  </si>
  <si>
    <t xml:space="preserve">TACO - alto teor calórico</t>
  </si>
  <si>
    <t xml:space="preserve">Açaí (polpa)</t>
  </si>
  <si>
    <t xml:space="preserve">Maçã sem casca</t>
  </si>
  <si>
    <t xml:space="preserve">TACO — 120g = ~62 kcal</t>
  </si>
  <si>
    <t xml:space="preserve">  💧 Bebidas</t>
  </si>
  <si>
    <t xml:space="preserve">Água</t>
  </si>
  <si>
    <t xml:space="preserve">💧 Bebidas</t>
  </si>
  <si>
    <t xml:space="preserve">Fundamental - beba 2L/dia</t>
  </si>
  <si>
    <t xml:space="preserve">Água de coco natural</t>
  </si>
  <si>
    <t xml:space="preserve">TACO - eletrólitos</t>
  </si>
  <si>
    <t xml:space="preserve">Suco de laranja natural</t>
  </si>
  <si>
    <t xml:space="preserve">TACO - sem açúcar</t>
  </si>
  <si>
    <t xml:space="preserve">Suco de limão natural</t>
  </si>
  <si>
    <t xml:space="preserve">Leite de amêndoas</t>
  </si>
  <si>
    <t xml:space="preserve">TBCA - alternativa vegetal</t>
  </si>
  <si>
    <t xml:space="preserve">Leite de aveia</t>
  </si>
  <si>
    <t xml:space="preserve">TBCA</t>
  </si>
  <si>
    <t xml:space="preserve">Chá verde (infusão)</t>
  </si>
  <si>
    <t xml:space="preserve">Chá de camomila (infusão)</t>
  </si>
  <si>
    <t xml:space="preserve">TACO - calmante</t>
  </si>
  <si>
    <t xml:space="preserve">Café sem açúcar</t>
  </si>
  <si>
    <t xml:space="preserve">Kombucha</t>
  </si>
  <si>
    <t xml:space="preserve">TBCA - probiótico</t>
  </si>
  <si>
    <t xml:space="preserve">Vitamina de banana com leite</t>
  </si>
  <si>
    <t xml:space="preserve">Cálculo estimado</t>
  </si>
  <si>
    <t xml:space="preserve">Smoothie verde (couve+limão)</t>
  </si>
  <si>
    <t xml:space="preserve">Café com leite desnatado</t>
  </si>
  <si>
    <t xml:space="preserve">Estimado — 200ml. Café + leite desnatado</t>
  </si>
  <si>
    <t xml:space="preserve">Leite de soja sem açúcar</t>
  </si>
  <si>
    <t xml:space="preserve">TBCA/USP</t>
  </si>
  <si>
    <t xml:space="preserve">  🥜 Oleaginosas, Sementes e Gorduras Boas</t>
  </si>
  <si>
    <t xml:space="preserve">Amendoim torrado</t>
  </si>
  <si>
    <t xml:space="preserve">🥜 Oleaginosas, Sementes e Gorduras Boas</t>
  </si>
  <si>
    <t xml:space="preserve">TACO - comer com moderação</t>
  </si>
  <si>
    <t xml:space="preserve">Castanha-do-Pará</t>
  </si>
  <si>
    <t xml:space="preserve">TACO - selênio - 1-2/dia</t>
  </si>
  <si>
    <t xml:space="preserve">Castanha de caju torrada</t>
  </si>
  <si>
    <t xml:space="preserve">Nozes</t>
  </si>
  <si>
    <t xml:space="preserve">TACO - ômega-3</t>
  </si>
  <si>
    <t xml:space="preserve">Amêndoa torrada</t>
  </si>
  <si>
    <t xml:space="preserve">TBCA - vitamina E</t>
  </si>
  <si>
    <t xml:space="preserve">Semente de chia</t>
  </si>
  <si>
    <t xml:space="preserve">TBCA - fibras e ômega-3</t>
  </si>
  <si>
    <t xml:space="preserve">Semente de linhaça</t>
  </si>
  <si>
    <t xml:space="preserve">Semente de girassol</t>
  </si>
  <si>
    <t xml:space="preserve">Azeite de oliva extra virgem</t>
  </si>
  <si>
    <t xml:space="preserve">TACO - gordura monoinsaturada</t>
  </si>
  <si>
    <t xml:space="preserve">Óleo de coco virgem</t>
  </si>
  <si>
    <t xml:space="preserve">TACO - triglicerídeos médios</t>
  </si>
  <si>
    <t xml:space="preserve">Pasta de amendoim integral</t>
  </si>
  <si>
    <t xml:space="preserve">TACO - sem açúcar adicionado</t>
  </si>
  <si>
    <t xml:space="preserve">Tahine (pasta de gergelim)</t>
  </si>
  <si>
    <t xml:space="preserve">  🍫 Suplementos e Funcionais</t>
  </si>
  <si>
    <t xml:space="preserve">Whey protein (pó)</t>
  </si>
  <si>
    <t xml:space="preserve">🍫 Suplementos e Funcionais</t>
  </si>
  <si>
    <t xml:space="preserve">Ref. média mercado - 1 scoop≈30g</t>
  </si>
  <si>
    <t xml:space="preserve">Proteína vegetal (ervilha)</t>
  </si>
  <si>
    <t xml:space="preserve">Ref. média mercado</t>
  </si>
  <si>
    <t xml:space="preserve">Proteína de soja isolada</t>
  </si>
  <si>
    <t xml:space="preserve">Creatina monohidratada</t>
  </si>
  <si>
    <t xml:space="preserve">Sem calorias - 3-5g/dia</t>
  </si>
  <si>
    <t xml:space="preserve">Colágeno hidrolisado (pó)</t>
  </si>
  <si>
    <t xml:space="preserve">Mel</t>
  </si>
  <si>
    <t xml:space="preserve">TACO - adoçante natural</t>
  </si>
  <si>
    <t xml:space="preserve">Cacau em pó sem açúcar</t>
  </si>
  <si>
    <t xml:space="preserve">Proteína de amendoim (pó)</t>
  </si>
  <si>
    <t xml:space="preserve">  🍽️ Temperos e Condimentos</t>
  </si>
  <si>
    <t xml:space="preserve">Sal (cloreto de sódio)</t>
  </si>
  <si>
    <t xml:space="preserve">🍽️ Temperos e Condimentos</t>
  </si>
  <si>
    <t xml:space="preserve">Limite: 5g/dia OMS</t>
  </si>
  <si>
    <t xml:space="preserve">Azeite de oliva (tempero)</t>
  </si>
  <si>
    <t xml:space="preserve">1 colher sopa = 10g</t>
  </si>
  <si>
    <t xml:space="preserve">Vinagre de maçã</t>
  </si>
  <si>
    <t xml:space="preserve">Limão (suco)</t>
  </si>
  <si>
    <t xml:space="preserve">Mostarda</t>
  </si>
  <si>
    <t xml:space="preserve">Molho shoyu (soja)</t>
  </si>
  <si>
    <t xml:space="preserve">TACO - alto sódio</t>
  </si>
  <si>
    <t xml:space="preserve">Tahine</t>
  </si>
  <si>
    <t xml:space="preserve">Gengibre fresco</t>
  </si>
  <si>
    <t xml:space="preserve">TACO - anti-inflamatório</t>
  </si>
  <si>
    <t xml:space="preserve">Cúrcuma (açafrão-da-terra)</t>
  </si>
  <si>
    <t xml:space="preserve">TACO - curcumina</t>
  </si>
  <si>
    <t xml:space="preserve">Canela em pó</t>
  </si>
  <si>
    <t xml:space="preserve">TACO - controle glicêmico</t>
  </si>
  <si>
    <t xml:space="preserve">🍽️  PLANO ALIMENTAR DIÁRIO — CONTROLE DE CALORIAS E MACROS</t>
  </si>
  <si>
    <t xml:space="preserve">Digite o nome do alimento na coluna C e a porção (g) na coluna E. Os valores nutricionais são calculados automaticamente via VLOOKUP na tabela de referência.</t>
  </si>
  <si>
    <t xml:space="preserve">⚙️ CONFIGURAÇÕES DO DIA</t>
  </si>
  <si>
    <t xml:space="preserve">Meta Calórica (kcal):</t>
  </si>
  <si>
    <t xml:space="preserve">Peso Corporal (kg):</t>
  </si>
  <si>
    <t xml:space="preserve">Objetivo:</t>
  </si>
  <si>
    <t xml:space="preserve">Emagrecimento</t>
  </si>
  <si>
    <t xml:space="preserve">💊 Necessidade Proteica (g/kg × peso):</t>
  </si>
  <si>
    <t xml:space="preserve">Fator prot (g/kg):</t>
  </si>
  <si>
    <t xml:space="preserve">Meta prot (g):</t>
  </si>
  <si>
    <t xml:space="preserve">Meta carbs (g):</t>
  </si>
  <si>
    <t xml:space="preserve">#</t>
  </si>
  <si>
    <t xml:space="preserve">Refeição</t>
  </si>
  <si>
    <t xml:space="preserve">Porção
(g)</t>
  </si>
  <si>
    <t xml:space="preserve">Calorias
(kcal)</t>
  </si>
  <si>
    <t xml:space="preserve">Proteínas
(g)</t>
  </si>
  <si>
    <t xml:space="preserve">Carboidratos
(g)</t>
  </si>
  <si>
    <t xml:space="preserve">Gorduras
(g)</t>
  </si>
  <si>
    <t xml:space="preserve">Fibras
(g)</t>
  </si>
  <si>
    <t xml:space="preserve">% Meta
Calórica</t>
  </si>
  <si>
    <t xml:space="preserve">Medida Ref.</t>
  </si>
  <si>
    <t xml:space="preserve">  ☀️ Café da Manhã</t>
  </si>
  <si>
    <t xml:space="preserve">☀️ Café da Manhã</t>
  </si>
  <si>
    <t xml:space="preserve">200ml</t>
  </si>
  <si>
    <t xml:space="preserve">50g = 1 unidade</t>
  </si>
  <si>
    <t xml:space="preserve">~1 col. sopa cheia</t>
  </si>
  <si>
    <t xml:space="preserve">1 fatia fina</t>
  </si>
  <si>
    <t xml:space="preserve">1 fatia</t>
  </si>
  <si>
    <t xml:space="preserve">2 ovos ≈ 100g</t>
  </si>
  <si>
    <t xml:space="preserve">1 maçã média</t>
  </si>
  <si>
    <t xml:space="preserve">6g (2 doses)</t>
  </si>
  <si>
    <t xml:space="preserve">  🍌 Lanche da Manhã</t>
  </si>
  <si>
    <t xml:space="preserve">🍌 Lanche da Manhã</t>
  </si>
  <si>
    <t xml:space="preserve">  🥃 Almoço</t>
  </si>
  <si>
    <t xml:space="preserve">🥃 Almoço</t>
  </si>
  <si>
    <t xml:space="preserve">  🍵 Lanche da Tarde</t>
  </si>
  <si>
    <t xml:space="preserve">🍵 Lanche da Tarde</t>
  </si>
  <si>
    <t xml:space="preserve">  🌙 Jantar</t>
  </si>
  <si>
    <t xml:space="preserve">🌙 Jantar</t>
  </si>
  <si>
    <t xml:space="preserve">  🌛 Ceia</t>
  </si>
  <si>
    <t xml:space="preserve">🌛 Ceia</t>
  </si>
  <si>
    <t xml:space="preserve">📊 TOTAL DO DIA</t>
  </si>
  <si>
    <t xml:space="preserve">🎯 STATUS vs. META</t>
  </si>
  <si>
    <t xml:space="preserve">  📊 CALORIAS POR REFEIÇÃO</t>
  </si>
  <si>
    <t xml:space="preserve">Calorias (kcal)</t>
  </si>
  <si>
    <t xml:space="preserve">Proteínas (g)</t>
  </si>
  <si>
    <t xml:space="preserve">Carboidratos (g)</t>
  </si>
  <si>
    <t xml:space="preserve">% das Calorias Totais</t>
  </si>
  <si>
    <t xml:space="preserve">📊  DASHBOARD DE MACRONUTRIENTES E SAÚDE NUTRICIONAL</t>
  </si>
  <si>
    <t xml:space="preserve">🔥 CALORIAS
CONSUMIDAS</t>
  </si>
  <si>
    <t xml:space="preserve">🎯 META
CALÓRICA</t>
  </si>
  <si>
    <t xml:space="preserve">💪 PROTEÍNAS</t>
  </si>
  <si>
    <t xml:space="preserve">🌾 CARBOIDRATOS</t>
  </si>
  <si>
    <t xml:space="preserve">🥑 GORDURAS</t>
  </si>
  <si>
    <t xml:space="preserve">🌿 FIBRAS</t>
  </si>
  <si>
    <t xml:space="preserve">  🥧 DISTRIBUIÇÃO CALÓRICA POR MACRONUTRIENTE (meta: 50% carbs, 25% prot, 25% gord)</t>
  </si>
  <si>
    <t xml:space="preserve">Macro</t>
  </si>
  <si>
    <t xml:space="preserve">Consumido (g)</t>
  </si>
  <si>
    <t xml:space="preserve">Kcal do macro</t>
  </si>
  <si>
    <t xml:space="preserve">% das Kcal totais</t>
  </si>
  <si>
    <t xml:space="preserve">Meta %</t>
  </si>
  <si>
    <t xml:space="preserve">Status</t>
  </si>
  <si>
    <t xml:space="preserve">💪 Proteínas</t>
  </si>
  <si>
    <t xml:space="preserve">25%</t>
  </si>
  <si>
    <t xml:space="preserve">🌾 Carboidratos</t>
  </si>
  <si>
    <t xml:space="preserve">50%</t>
  </si>
  <si>
    <t xml:space="preserve">🥑 Gorduras</t>
  </si>
  <si>
    <t xml:space="preserve">  🏥 INDICADORES DE SAÚDE NUTRICIONAL</t>
  </si>
  <si>
    <t xml:space="preserve">Indicador</t>
  </si>
  <si>
    <t xml:space="preserve">Valor Atual</t>
  </si>
  <si>
    <t xml:space="preserve">Meta/Recomendação</t>
  </si>
  <si>
    <t xml:space="preserve">Dica</t>
  </si>
  <si>
    <t xml:space="preserve">🔥 Balanço Calórico</t>
  </si>
  <si>
    <t xml:space="preserve">0 kcal (equilíbrio)</t>
  </si>
  <si>
    <t xml:space="preserve">Déficit de 300-500kcal para emagrecer com saúde</t>
  </si>
  <si>
    <t xml:space="preserve">💪 Proteína/kg peso</t>
  </si>
  <si>
    <t xml:space="preserve">1.6–2.2 g/kg (atletas)</t>
  </si>
  <si>
    <t xml:space="preserve">Inclua carnes, ovos, leguminosas</t>
  </si>
  <si>
    <t xml:space="preserve">🌿 Fibras totais</t>
  </si>
  <si>
    <t xml:space="preserve">≥25g/dia (OMS)</t>
  </si>
  <si>
    <t xml:space="preserve">Aumente frutas, verduras e grãos integrais</t>
  </si>
  <si>
    <t xml:space="preserve">🥑 Gordura total</t>
  </si>
  <si>
    <t xml:space="preserve">20–35% das kcal totais</t>
  </si>
  <si>
    <t xml:space="preserve">Prefira azeite, abacate e oleaginosas</t>
  </si>
  <si>
    <t xml:space="preserve">🥗 Variedade vegetal</t>
  </si>
  <si>
    <t xml:space="preserve">≥5 porções de vegetais/dia</t>
  </si>
  <si>
    <t xml:space="preserve">"Acompanhe sua variedade"</t>
  </si>
  <si>
    <t xml:space="preserve">Diversifique cores no prato</t>
  </si>
  <si>
    <t xml:space="preserve">  📏 GUIA DE PORÇÕES RECOMENDADAS (Dieta de 2000 kcal)</t>
  </si>
  <si>
    <t xml:space="preserve">Grupo Alimentar</t>
  </si>
  <si>
    <t xml:space="preserve">Porções/dia</t>
  </si>
  <si>
    <t xml:space="preserve">Exemplo de 1 porção</t>
  </si>
  <si>
    <t xml:space="preserve">Calorias aprox.</t>
  </si>
  <si>
    <t xml:space="preserve">🌾 Cereais e tubérculos</t>
  </si>
  <si>
    <t xml:space="preserve">6 porções</t>
  </si>
  <si>
    <t xml:space="preserve">4 colh. arroz cozido = 100g ou 1 fatia pão integral</t>
  </si>
  <si>
    <t xml:space="preserve">~100–130 kcal</t>
  </si>
  <si>
    <t xml:space="preserve">Prefira integrais</t>
  </si>
  <si>
    <t xml:space="preserve">🥩 Carnes e ovos</t>
  </si>
  <si>
    <t xml:space="preserve">1–2 porções</t>
  </si>
  <si>
    <t xml:space="preserve">1 filé de frango = 100g ou 2 ovos mexidos</t>
  </si>
  <si>
    <t xml:space="preserve">~150–200 kcal</t>
  </si>
  <si>
    <t xml:space="preserve">Carnes magras grelhadas</t>
  </si>
  <si>
    <t xml:space="preserve">🫘 Leguminosas</t>
  </si>
  <si>
    <t xml:space="preserve">1 porção</t>
  </si>
  <si>
    <t xml:space="preserve">1 concha feijão = 80g ou ½ xíc grão-de-bico</t>
  </si>
  <si>
    <t xml:space="preserve">~60–80 kcal</t>
  </si>
  <si>
    <t xml:space="preserve">Rico em fibras e ferro</t>
  </si>
  <si>
    <t xml:space="preserve">🥛 Laticínios</t>
  </si>
  <si>
    <t xml:space="preserve">3 porções</t>
  </si>
  <si>
    <t xml:space="preserve">1 copo leite 200ml ou 1 pot. iogurte grego 100g</t>
  </si>
  <si>
    <t xml:space="preserve">~70–100 kcal</t>
  </si>
  <si>
    <t xml:space="preserve">Fontes de cálcio</t>
  </si>
  <si>
    <t xml:space="preserve">🥗 Vegetais e saladas</t>
  </si>
  <si>
    <t xml:space="preserve">3+ porções</t>
  </si>
  <si>
    <t xml:space="preserve">1 prato raso de salada crua = 60–100g</t>
  </si>
  <si>
    <t xml:space="preserve">~10–25 kcal</t>
  </si>
  <si>
    <t xml:space="preserve">Quanto mais colorido melhor</t>
  </si>
  <si>
    <t xml:space="preserve">1 fruta média ou 1 xícara de morangos = 100–130g</t>
  </si>
  <si>
    <t xml:space="preserve">~40–70 kcal</t>
  </si>
  <si>
    <t xml:space="preserve">Variar tipos e cores</t>
  </si>
  <si>
    <t xml:space="preserve">🥜 Gorduras e oleaginosas</t>
  </si>
  <si>
    <t xml:space="preserve">1 col. sobr. azeite = 10g ou 5 castanhas-do-Pará = 15g</t>
  </si>
  <si>
    <t xml:space="preserve">Gorduras boas, com moderação</t>
  </si>
  <si>
    <t xml:space="preserve">💧 Líquidos</t>
  </si>
  <si>
    <t xml:space="preserve">8 copos/dia</t>
  </si>
  <si>
    <t xml:space="preserve">1 copo água 250ml</t>
  </si>
  <si>
    <t xml:space="preserve">0 kcal</t>
  </si>
  <si>
    <t xml:space="preserve">Beba 2–3 litros/dia</t>
  </si>
  <si>
    <t xml:space="preserve">ALIMENTOS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</si>
</sst>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.000"/>
    <numFmt numFmtId="167" formatCode="0"/>
    <numFmt numFmtId="168" formatCode="0.0&quot; g&quot;"/>
    <numFmt numFmtId="169" formatCode="0.0%"/>
    <numFmt numFmtId="170" formatCode="@"/>
    <numFmt numFmtId="171" formatCode="0.0&quot; kcal&quot;"/>
    <numFmt numFmtId="172" formatCode="0&quot; kcal&quot;"/>
    <numFmt numFmtId="173" formatCode="0%"/>
    <numFmt numFmtId="174" formatCode="0.00&quot; g/kg&quot;"/>
    <numFmt numFmtId="175" formatCode="0&quot; porções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757575"/>
      <name val="Calibri"/>
      <family val="0"/>
      <charset val="1"/>
    </font>
    <font>
      <b val="true"/>
      <sz val="9"/>
      <color rgb="FF21212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12121"/>
      <name val="Calibri"/>
      <family val="0"/>
      <charset val="1"/>
    </font>
    <font>
      <sz val="8"/>
      <color rgb="FFFFFFFF"/>
      <name val="Calibri"/>
      <family val="0"/>
      <charset val="1"/>
    </font>
    <font>
      <i val="true"/>
      <sz val="8"/>
      <color rgb="FF757575"/>
      <name val="Calibri"/>
      <family val="0"/>
      <charset val="1"/>
    </font>
    <font>
      <b val="true"/>
      <sz val="10"/>
      <color rgb="FF1A237E"/>
      <name val="Calibri"/>
      <family val="0"/>
      <charset val="1"/>
    </font>
    <font>
      <sz val="9"/>
      <color rgb="FF212121"/>
      <name val="Calibri"/>
      <family val="0"/>
      <charset val="1"/>
    </font>
    <font>
      <b val="true"/>
      <sz val="10"/>
      <color rgb="FF21212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757575"/>
      <name val="Calibri"/>
      <family val="0"/>
      <charset val="1"/>
    </font>
    <font>
      <sz val="9"/>
      <color rgb="FFFFFFFF"/>
      <name val="Calibri"/>
      <family val="0"/>
      <charset val="1"/>
    </font>
    <font>
      <sz val="10"/>
      <color rgb="FF1A237E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B5E20"/>
        <bgColor rgb="FF004D40"/>
      </patternFill>
    </fill>
    <fill>
      <patternFill patternType="solid">
        <fgColor rgb="FFE8F5E9"/>
        <bgColor rgb="FFE0F2F1"/>
      </patternFill>
    </fill>
    <fill>
      <patternFill patternType="solid">
        <fgColor rgb="FFEEEEEE"/>
        <bgColor rgb="FFE8F5E9"/>
      </patternFill>
    </fill>
    <fill>
      <patternFill patternType="solid">
        <fgColor rgb="FFB71C1C"/>
        <bgColor rgb="FF880E4F"/>
      </patternFill>
    </fill>
    <fill>
      <patternFill patternType="solid">
        <fgColor rgb="FF1565C0"/>
        <bgColor rgb="FF0D47A1"/>
      </patternFill>
    </fill>
    <fill>
      <patternFill patternType="solid">
        <fgColor rgb="FFF57F17"/>
        <bgColor rgb="FFF9A825"/>
      </patternFill>
    </fill>
    <fill>
      <patternFill patternType="solid">
        <fgColor rgb="FFE65100"/>
        <bgColor rgb="FFF57F17"/>
      </patternFill>
    </fill>
    <fill>
      <patternFill patternType="solid">
        <fgColor rgb="FF2E7D32"/>
        <bgColor rgb="FF1B5E20"/>
      </patternFill>
    </fill>
    <fill>
      <patternFill patternType="solid">
        <fgColor rgb="FF4A148C"/>
        <bgColor rgb="FF1A237E"/>
      </patternFill>
    </fill>
    <fill>
      <patternFill patternType="solid">
        <fgColor rgb="FF424242"/>
        <bgColor rgb="FF4E342E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4E342E"/>
        <bgColor rgb="FF424242"/>
      </patternFill>
    </fill>
    <fill>
      <patternFill patternType="solid">
        <fgColor rgb="FF004D40"/>
        <bgColor rgb="FF1B5E20"/>
      </patternFill>
    </fill>
    <fill>
      <patternFill patternType="solid">
        <fgColor rgb="FF880E4F"/>
        <bgColor rgb="FF800080"/>
      </patternFill>
    </fill>
    <fill>
      <patternFill patternType="solid">
        <fgColor rgb="FF0D47A1"/>
        <bgColor rgb="FF1565C0"/>
      </patternFill>
    </fill>
    <fill>
      <patternFill patternType="solid">
        <fgColor rgb="FFE0F2F1"/>
        <bgColor rgb="FFE3F2FD"/>
      </patternFill>
    </fill>
    <fill>
      <patternFill patternType="solid">
        <fgColor rgb="FFFFFDE7"/>
        <bgColor rgb="FFFAFAFA"/>
      </patternFill>
    </fill>
    <fill>
      <patternFill patternType="solid">
        <fgColor rgb="FFBBDEFB"/>
        <bgColor rgb="FFE0F2F1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0F2F1"/>
      </patternFill>
    </fill>
    <fill>
      <patternFill patternType="solid">
        <fgColor rgb="FFF3E5F5"/>
        <bgColor rgb="FFEEEEEE"/>
      </patternFill>
    </fill>
    <fill>
      <patternFill patternType="solid">
        <fgColor rgb="FFFFEBEE"/>
        <bgColor rgb="FFFFF3E0"/>
      </patternFill>
    </fill>
    <fill>
      <patternFill patternType="solid">
        <fgColor rgb="FF212121"/>
        <bgColor rgb="FF4E342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/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  <border diagonalUp="false" diagonalDown="false">
      <left style="thin">
        <color rgb="FFBDBDBD"/>
      </left>
      <right style="thin">
        <color rgb="FFF9A825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1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2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BDBDBD"/>
      <rgbColor rgb="FF757575"/>
      <rgbColor rgb="FF9999FF"/>
      <rgbColor rgb="FF993366"/>
      <rgbColor rgb="FFFFF9C4"/>
      <rgbColor rgb="FFE0F2F1"/>
      <rgbColor rgb="FF4A148C"/>
      <rgbColor rgb="FFF57F17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EEEEEE"/>
      <rgbColor rgb="FFFFEBEE"/>
      <rgbColor rgb="FFFAFAFA"/>
      <rgbColor rgb="FFF3E5F5"/>
      <rgbColor rgb="FF3366FF"/>
      <rgbColor rgb="FF33CCCC"/>
      <rgbColor rgb="FF99CC00"/>
      <rgbColor rgb="FFFFCC00"/>
      <rgbColor rgb="FFF9A825"/>
      <rgbColor rgb="FFE65100"/>
      <rgbColor rgb="FF424242"/>
      <rgbColor rgb="FF969696"/>
      <rgbColor rgb="FF1A237E"/>
      <rgbColor rgb="FF2E7D32"/>
      <rgbColor rgb="FF004D40"/>
      <rgbColor rgb="FF212121"/>
      <rgbColor rgb="FFB71C1C"/>
      <rgbColor rgb="FF993366"/>
      <rgbColor rgb="FF0D47A1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9" min="4" style="1" width="10"/>
    <col collapsed="false" customWidth="true" hidden="false" outlineLevel="0" max="10" min="10" style="1" width="26"/>
    <col collapsed="false" customWidth="true" hidden="false" outlineLevel="0" max="11" min="11" style="1" width="2"/>
  </cols>
  <sheetData>
    <row r="1" customFormat="false" ht="6" hidden="false" customHeight="true" outlineLevel="0" collapsed="false"/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7.5" hidden="false" customHeight="true" outlineLevel="0" collapsed="false"/>
    <row r="5" customFormat="false" ht="19.5" hidden="false" customHeight="true" outlineLevel="0" collapsed="false">
      <c r="B5" s="4" t="s">
        <v>2</v>
      </c>
      <c r="C5" s="4"/>
    </row>
    <row r="6" customFormat="false" ht="36" hidden="false" customHeight="true" outlineLevel="0" collapsed="false">
      <c r="B6" s="5" t="s">
        <v>3</v>
      </c>
      <c r="C6" s="5" t="s">
        <v>4</v>
      </c>
      <c r="D6" s="6" t="s">
        <v>5</v>
      </c>
      <c r="E6" s="7" t="s">
        <v>6</v>
      </c>
      <c r="F6" s="8" t="s">
        <v>7</v>
      </c>
      <c r="G6" s="9" t="s">
        <v>8</v>
      </c>
      <c r="H6" s="10" t="s">
        <v>9</v>
      </c>
      <c r="I6" s="11" t="s">
        <v>10</v>
      </c>
      <c r="J6" s="12" t="s">
        <v>11</v>
      </c>
    </row>
    <row r="7" customFormat="false" ht="24" hidden="false" customHeight="true" outlineLevel="0" collapsed="false">
      <c r="B7" s="13" t="s">
        <v>12</v>
      </c>
      <c r="C7" s="13"/>
      <c r="D7" s="13"/>
      <c r="E7" s="13"/>
      <c r="F7" s="13"/>
      <c r="G7" s="13"/>
      <c r="H7" s="13"/>
      <c r="I7" s="13"/>
      <c r="J7" s="13"/>
    </row>
    <row r="8" customFormat="false" ht="18" hidden="false" customHeight="true" outlineLevel="0" collapsed="false">
      <c r="B8" s="14" t="s">
        <v>13</v>
      </c>
      <c r="C8" s="15" t="s">
        <v>14</v>
      </c>
      <c r="D8" s="16" t="n">
        <v>128</v>
      </c>
      <c r="E8" s="16" t="n">
        <v>2.5</v>
      </c>
      <c r="F8" s="16" t="n">
        <v>28.1</v>
      </c>
      <c r="G8" s="16" t="n">
        <v>0.2</v>
      </c>
      <c r="H8" s="16" t="n">
        <v>1.6</v>
      </c>
      <c r="I8" s="17" t="n">
        <f aca="false">D8/100</f>
        <v>1.28</v>
      </c>
      <c r="J8" s="18" t="s">
        <v>15</v>
      </c>
    </row>
    <row r="9" customFormat="false" ht="18" hidden="false" customHeight="true" outlineLevel="0" collapsed="false">
      <c r="B9" s="19" t="s">
        <v>16</v>
      </c>
      <c r="C9" s="15" t="s">
        <v>14</v>
      </c>
      <c r="D9" s="20" t="n">
        <v>124</v>
      </c>
      <c r="E9" s="20" t="n">
        <v>2.6</v>
      </c>
      <c r="F9" s="20" t="n">
        <v>25.8</v>
      </c>
      <c r="G9" s="20" t="n">
        <v>1</v>
      </c>
      <c r="H9" s="20" t="n">
        <v>2.7</v>
      </c>
      <c r="I9" s="21" t="n">
        <f aca="false">D9/100</f>
        <v>1.24</v>
      </c>
      <c r="J9" s="22" t="s">
        <v>17</v>
      </c>
    </row>
    <row r="10" customFormat="false" ht="18" hidden="false" customHeight="true" outlineLevel="0" collapsed="false">
      <c r="B10" s="14" t="s">
        <v>18</v>
      </c>
      <c r="C10" s="15" t="s">
        <v>14</v>
      </c>
      <c r="D10" s="16" t="n">
        <v>158</v>
      </c>
      <c r="E10" s="16" t="n">
        <v>4.8</v>
      </c>
      <c r="F10" s="16" t="n">
        <v>31.7</v>
      </c>
      <c r="G10" s="16" t="n">
        <v>0.8</v>
      </c>
      <c r="H10" s="16" t="n">
        <v>1.5</v>
      </c>
      <c r="I10" s="17" t="n">
        <f aca="false">D10/100</f>
        <v>1.58</v>
      </c>
      <c r="J10" s="18" t="s">
        <v>19</v>
      </c>
    </row>
    <row r="11" customFormat="false" ht="18" hidden="false" customHeight="true" outlineLevel="0" collapsed="false">
      <c r="B11" s="19" t="s">
        <v>20</v>
      </c>
      <c r="C11" s="15" t="s">
        <v>14</v>
      </c>
      <c r="D11" s="20" t="n">
        <v>141</v>
      </c>
      <c r="E11" s="20" t="n">
        <v>5.2</v>
      </c>
      <c r="F11" s="20" t="n">
        <v>28.6</v>
      </c>
      <c r="G11" s="20" t="n">
        <v>1.1</v>
      </c>
      <c r="H11" s="20" t="n">
        <v>3.2</v>
      </c>
      <c r="I11" s="21" t="n">
        <f aca="false">D11/100</f>
        <v>1.41</v>
      </c>
      <c r="J11" s="22" t="s">
        <v>21</v>
      </c>
    </row>
    <row r="12" customFormat="false" ht="18" hidden="false" customHeight="true" outlineLevel="0" collapsed="false">
      <c r="B12" s="14" t="s">
        <v>22</v>
      </c>
      <c r="C12" s="15" t="s">
        <v>14</v>
      </c>
      <c r="D12" s="16" t="n">
        <v>300</v>
      </c>
      <c r="E12" s="16" t="n">
        <v>8</v>
      </c>
      <c r="F12" s="16" t="n">
        <v>58.6</v>
      </c>
      <c r="G12" s="16" t="n">
        <v>3.1</v>
      </c>
      <c r="H12" s="16" t="n">
        <v>2.3</v>
      </c>
      <c r="I12" s="17" t="n">
        <f aca="false">D12/100</f>
        <v>3</v>
      </c>
      <c r="J12" s="18" t="s">
        <v>23</v>
      </c>
    </row>
    <row r="13" customFormat="false" ht="18" hidden="false" customHeight="true" outlineLevel="0" collapsed="false">
      <c r="B13" s="19" t="s">
        <v>24</v>
      </c>
      <c r="C13" s="15" t="s">
        <v>14</v>
      </c>
      <c r="D13" s="20" t="n">
        <v>253</v>
      </c>
      <c r="E13" s="20" t="n">
        <v>8.8</v>
      </c>
      <c r="F13" s="20" t="n">
        <v>46.7</v>
      </c>
      <c r="G13" s="20" t="n">
        <v>3.5</v>
      </c>
      <c r="H13" s="20" t="n">
        <v>5.7</v>
      </c>
      <c r="I13" s="21" t="n">
        <f aca="false">D13/100</f>
        <v>2.53</v>
      </c>
      <c r="J13" s="22" t="s">
        <v>25</v>
      </c>
    </row>
    <row r="14" customFormat="false" ht="18" hidden="false" customHeight="true" outlineLevel="0" collapsed="false">
      <c r="B14" s="14" t="s">
        <v>26</v>
      </c>
      <c r="C14" s="15" t="s">
        <v>14</v>
      </c>
      <c r="D14" s="16" t="n">
        <v>394</v>
      </c>
      <c r="E14" s="16" t="n">
        <v>13.9</v>
      </c>
      <c r="F14" s="16" t="n">
        <v>66.6</v>
      </c>
      <c r="G14" s="16" t="n">
        <v>8.5</v>
      </c>
      <c r="H14" s="16" t="n">
        <v>9.1</v>
      </c>
      <c r="I14" s="17" t="n">
        <f aca="false">D14/100</f>
        <v>3.94</v>
      </c>
      <c r="J14" s="18" t="s">
        <v>27</v>
      </c>
    </row>
    <row r="15" customFormat="false" ht="18" hidden="false" customHeight="true" outlineLevel="0" collapsed="false">
      <c r="B15" s="19" t="s">
        <v>28</v>
      </c>
      <c r="C15" s="15" t="s">
        <v>14</v>
      </c>
      <c r="D15" s="20" t="n">
        <v>87</v>
      </c>
      <c r="E15" s="20" t="n">
        <v>1.9</v>
      </c>
      <c r="F15" s="20" t="n">
        <v>19.7</v>
      </c>
      <c r="G15" s="20" t="n">
        <v>0.1</v>
      </c>
      <c r="H15" s="20" t="n">
        <v>1.8</v>
      </c>
      <c r="I15" s="21" t="n">
        <f aca="false">D15/100</f>
        <v>0.87</v>
      </c>
      <c r="J15" s="22" t="s">
        <v>29</v>
      </c>
    </row>
    <row r="16" customFormat="false" ht="18" hidden="false" customHeight="true" outlineLevel="0" collapsed="false">
      <c r="B16" s="14" t="s">
        <v>30</v>
      </c>
      <c r="C16" s="15" t="s">
        <v>14</v>
      </c>
      <c r="D16" s="16" t="n">
        <v>110</v>
      </c>
      <c r="E16" s="16" t="n">
        <v>1.4</v>
      </c>
      <c r="F16" s="16" t="n">
        <v>26</v>
      </c>
      <c r="G16" s="16" t="n">
        <v>0.1</v>
      </c>
      <c r="H16" s="16" t="n">
        <v>2.7</v>
      </c>
      <c r="I16" s="17" t="n">
        <f aca="false">D16/100</f>
        <v>1.1</v>
      </c>
      <c r="J16" s="18" t="s">
        <v>31</v>
      </c>
    </row>
    <row r="17" customFormat="false" ht="18" hidden="false" customHeight="true" outlineLevel="0" collapsed="false">
      <c r="B17" s="19" t="s">
        <v>32</v>
      </c>
      <c r="C17" s="15" t="s">
        <v>14</v>
      </c>
      <c r="D17" s="20" t="n">
        <v>149</v>
      </c>
      <c r="E17" s="20" t="n">
        <v>0.9</v>
      </c>
      <c r="F17" s="20" t="n">
        <v>35.3</v>
      </c>
      <c r="G17" s="20" t="n">
        <v>0.3</v>
      </c>
      <c r="H17" s="20" t="n">
        <v>1.9</v>
      </c>
      <c r="I17" s="21" t="n">
        <f aca="false">D17/100</f>
        <v>1.49</v>
      </c>
      <c r="J17" s="22" t="s">
        <v>33</v>
      </c>
    </row>
    <row r="18" customFormat="false" ht="18" hidden="false" customHeight="true" outlineLevel="0" collapsed="false">
      <c r="B18" s="14" t="s">
        <v>34</v>
      </c>
      <c r="C18" s="15" t="s">
        <v>14</v>
      </c>
      <c r="D18" s="16" t="n">
        <v>354</v>
      </c>
      <c r="E18" s="16" t="n">
        <v>0.1</v>
      </c>
      <c r="F18" s="16" t="n">
        <v>87.8</v>
      </c>
      <c r="G18" s="16" t="n">
        <v>0.3</v>
      </c>
      <c r="H18" s="16" t="n">
        <v>0.2</v>
      </c>
      <c r="I18" s="17" t="n">
        <f aca="false">D18/100</f>
        <v>3.54</v>
      </c>
      <c r="J18" s="18" t="s">
        <v>35</v>
      </c>
    </row>
    <row r="19" customFormat="false" ht="18" hidden="false" customHeight="true" outlineLevel="0" collapsed="false">
      <c r="B19" s="19" t="s">
        <v>36</v>
      </c>
      <c r="C19" s="15" t="s">
        <v>14</v>
      </c>
      <c r="D19" s="20" t="n">
        <v>337</v>
      </c>
      <c r="E19" s="20" t="n">
        <v>8.1</v>
      </c>
      <c r="F19" s="20" t="n">
        <v>71.4</v>
      </c>
      <c r="G19" s="20" t="n">
        <v>1.2</v>
      </c>
      <c r="H19" s="20" t="n">
        <v>2.8</v>
      </c>
      <c r="I19" s="21" t="n">
        <f aca="false">D19/100</f>
        <v>3.37</v>
      </c>
      <c r="J19" s="22" t="s">
        <v>37</v>
      </c>
    </row>
    <row r="20" customFormat="false" ht="18" hidden="false" customHeight="true" outlineLevel="0" collapsed="false">
      <c r="B20" s="14" t="s">
        <v>38</v>
      </c>
      <c r="C20" s="15" t="s">
        <v>14</v>
      </c>
      <c r="D20" s="16" t="n">
        <v>120</v>
      </c>
      <c r="E20" s="16" t="n">
        <v>4.4</v>
      </c>
      <c r="F20" s="16" t="n">
        <v>21.3</v>
      </c>
      <c r="G20" s="16" t="n">
        <v>1.9</v>
      </c>
      <c r="H20" s="16" t="n">
        <v>2.8</v>
      </c>
      <c r="I20" s="17" t="n">
        <f aca="false">D20/100</f>
        <v>1.2</v>
      </c>
      <c r="J20" s="18" t="s">
        <v>39</v>
      </c>
    </row>
    <row r="21" customFormat="false" ht="18" hidden="false" customHeight="true" outlineLevel="0" collapsed="false">
      <c r="B21" s="19" t="s">
        <v>40</v>
      </c>
      <c r="C21" s="15" t="s">
        <v>14</v>
      </c>
      <c r="D21" s="20" t="n">
        <v>398</v>
      </c>
      <c r="E21" s="20" t="n">
        <v>8.8</v>
      </c>
      <c r="F21" s="20" t="n">
        <v>66.4</v>
      </c>
      <c r="G21" s="20" t="n">
        <v>9.7</v>
      </c>
      <c r="H21" s="20" t="n">
        <v>5</v>
      </c>
      <c r="I21" s="21" t="n">
        <f aca="false">D21/100</f>
        <v>3.98</v>
      </c>
      <c r="J21" s="22" t="s">
        <v>41</v>
      </c>
    </row>
    <row r="22" customFormat="false" ht="6" hidden="false" customHeight="true" outlineLevel="0" collapsed="false"/>
    <row r="23" customFormat="false" ht="24" hidden="false" customHeight="true" outlineLevel="0" collapsed="false">
      <c r="B23" s="23" t="s">
        <v>42</v>
      </c>
      <c r="C23" s="23"/>
      <c r="D23" s="23"/>
      <c r="E23" s="23"/>
      <c r="F23" s="23"/>
      <c r="G23" s="23"/>
      <c r="H23" s="23"/>
      <c r="I23" s="23"/>
      <c r="J23" s="23"/>
    </row>
    <row r="24" customFormat="false" ht="18" hidden="false" customHeight="true" outlineLevel="0" collapsed="false">
      <c r="B24" s="14" t="s">
        <v>43</v>
      </c>
      <c r="C24" s="24" t="s">
        <v>44</v>
      </c>
      <c r="D24" s="16" t="n">
        <v>163</v>
      </c>
      <c r="E24" s="16" t="n">
        <v>31.5</v>
      </c>
      <c r="F24" s="16" t="n">
        <v>0</v>
      </c>
      <c r="G24" s="16" t="n">
        <v>3.7</v>
      </c>
      <c r="H24" s="16" t="n">
        <v>0</v>
      </c>
      <c r="I24" s="17" t="n">
        <f aca="false">D24/100</f>
        <v>1.63</v>
      </c>
      <c r="J24" s="18" t="s">
        <v>45</v>
      </c>
    </row>
    <row r="25" customFormat="false" ht="18" hidden="false" customHeight="true" outlineLevel="0" collapsed="false">
      <c r="B25" s="19" t="s">
        <v>46</v>
      </c>
      <c r="C25" s="24" t="s">
        <v>44</v>
      </c>
      <c r="D25" s="20" t="n">
        <v>215</v>
      </c>
      <c r="E25" s="20" t="n">
        <v>26.8</v>
      </c>
      <c r="F25" s="20" t="n">
        <v>0</v>
      </c>
      <c r="G25" s="20" t="n">
        <v>12</v>
      </c>
      <c r="H25" s="20" t="n">
        <v>0</v>
      </c>
      <c r="I25" s="21" t="n">
        <f aca="false">D25/100</f>
        <v>2.15</v>
      </c>
      <c r="J25" s="22" t="s">
        <v>47</v>
      </c>
    </row>
    <row r="26" customFormat="false" ht="18" hidden="false" customHeight="true" outlineLevel="0" collapsed="false">
      <c r="B26" s="14" t="s">
        <v>48</v>
      </c>
      <c r="C26" s="24" t="s">
        <v>44</v>
      </c>
      <c r="D26" s="16" t="n">
        <v>219</v>
      </c>
      <c r="E26" s="16" t="n">
        <v>35</v>
      </c>
      <c r="F26" s="16" t="n">
        <v>0</v>
      </c>
      <c r="G26" s="16" t="n">
        <v>8.5</v>
      </c>
      <c r="H26" s="16" t="n">
        <v>0</v>
      </c>
      <c r="I26" s="17" t="n">
        <f aca="false">D26/100</f>
        <v>2.19</v>
      </c>
      <c r="J26" s="18" t="s">
        <v>49</v>
      </c>
    </row>
    <row r="27" customFormat="false" ht="18" hidden="false" customHeight="true" outlineLevel="0" collapsed="false">
      <c r="B27" s="19" t="s">
        <v>50</v>
      </c>
      <c r="C27" s="24" t="s">
        <v>44</v>
      </c>
      <c r="D27" s="20" t="n">
        <v>237</v>
      </c>
      <c r="E27" s="20" t="n">
        <v>32.8</v>
      </c>
      <c r="F27" s="20" t="n">
        <v>0</v>
      </c>
      <c r="G27" s="20" t="n">
        <v>11.4</v>
      </c>
      <c r="H27" s="20" t="n">
        <v>0</v>
      </c>
      <c r="I27" s="21" t="n">
        <f aca="false">D27/100</f>
        <v>2.37</v>
      </c>
      <c r="J27" s="22" t="s">
        <v>51</v>
      </c>
    </row>
    <row r="28" customFormat="false" ht="18" hidden="false" customHeight="true" outlineLevel="0" collapsed="false">
      <c r="B28" s="14" t="s">
        <v>52</v>
      </c>
      <c r="C28" s="24" t="s">
        <v>44</v>
      </c>
      <c r="D28" s="16" t="n">
        <v>128</v>
      </c>
      <c r="E28" s="16" t="n">
        <v>26.2</v>
      </c>
      <c r="F28" s="16" t="n">
        <v>0</v>
      </c>
      <c r="G28" s="16" t="n">
        <v>2.6</v>
      </c>
      <c r="H28" s="16" t="n">
        <v>0</v>
      </c>
      <c r="I28" s="17" t="n">
        <f aca="false">D28/100</f>
        <v>1.28</v>
      </c>
      <c r="J28" s="18" t="s">
        <v>53</v>
      </c>
    </row>
    <row r="29" customFormat="false" ht="18" hidden="false" customHeight="true" outlineLevel="0" collapsed="false">
      <c r="B29" s="19" t="s">
        <v>54</v>
      </c>
      <c r="C29" s="24" t="s">
        <v>44</v>
      </c>
      <c r="D29" s="20" t="n">
        <v>246</v>
      </c>
      <c r="E29" s="20" t="n">
        <v>27.3</v>
      </c>
      <c r="F29" s="20" t="n">
        <v>0</v>
      </c>
      <c r="G29" s="20" t="n">
        <v>15</v>
      </c>
      <c r="H29" s="20" t="n">
        <v>0</v>
      </c>
      <c r="I29" s="21" t="n">
        <f aca="false">D29/100</f>
        <v>2.46</v>
      </c>
      <c r="J29" s="22" t="s">
        <v>55</v>
      </c>
    </row>
    <row r="30" customFormat="false" ht="18" hidden="false" customHeight="true" outlineLevel="0" collapsed="false">
      <c r="B30" s="14" t="s">
        <v>56</v>
      </c>
      <c r="C30" s="24" t="s">
        <v>44</v>
      </c>
      <c r="D30" s="16" t="n">
        <v>119</v>
      </c>
      <c r="E30" s="16" t="n">
        <v>26.3</v>
      </c>
      <c r="F30" s="16" t="n">
        <v>0</v>
      </c>
      <c r="G30" s="16" t="n">
        <v>1.3</v>
      </c>
      <c r="H30" s="16" t="n">
        <v>0</v>
      </c>
      <c r="I30" s="17" t="n">
        <f aca="false">D30/100</f>
        <v>1.19</v>
      </c>
      <c r="J30" s="18" t="s">
        <v>57</v>
      </c>
    </row>
    <row r="31" customFormat="false" ht="18" hidden="false" customHeight="true" outlineLevel="0" collapsed="false">
      <c r="B31" s="19" t="s">
        <v>58</v>
      </c>
      <c r="C31" s="24" t="s">
        <v>44</v>
      </c>
      <c r="D31" s="20" t="n">
        <v>270</v>
      </c>
      <c r="E31" s="20" t="n">
        <v>30.3</v>
      </c>
      <c r="F31" s="20" t="n">
        <v>0</v>
      </c>
      <c r="G31" s="20" t="n">
        <v>16</v>
      </c>
      <c r="H31" s="20" t="n">
        <v>0</v>
      </c>
      <c r="I31" s="21" t="n">
        <f aca="false">D31/100</f>
        <v>2.7</v>
      </c>
      <c r="J31" s="22" t="s">
        <v>59</v>
      </c>
    </row>
    <row r="32" customFormat="false" ht="18" hidden="false" customHeight="true" outlineLevel="0" collapsed="false">
      <c r="B32" s="14" t="s">
        <v>60</v>
      </c>
      <c r="C32" s="24" t="s">
        <v>44</v>
      </c>
      <c r="D32" s="16" t="n">
        <v>115</v>
      </c>
      <c r="E32" s="16" t="n">
        <v>24.4</v>
      </c>
      <c r="F32" s="16" t="n">
        <v>0</v>
      </c>
      <c r="G32" s="16" t="n">
        <v>1.5</v>
      </c>
      <c r="H32" s="16" t="n">
        <v>0</v>
      </c>
      <c r="I32" s="17" t="n">
        <f aca="false">D32/100</f>
        <v>1.15</v>
      </c>
      <c r="J32" s="18" t="s">
        <v>51</v>
      </c>
    </row>
    <row r="33" customFormat="false" ht="18" hidden="false" customHeight="true" outlineLevel="0" collapsed="false">
      <c r="B33" s="19" t="s">
        <v>61</v>
      </c>
      <c r="C33" s="24" t="s">
        <v>44</v>
      </c>
      <c r="D33" s="20" t="n">
        <v>146</v>
      </c>
      <c r="E33" s="20" t="n">
        <v>13.3</v>
      </c>
      <c r="F33" s="20" t="n">
        <v>0.6</v>
      </c>
      <c r="G33" s="20" t="n">
        <v>10</v>
      </c>
      <c r="H33" s="20" t="n">
        <v>0</v>
      </c>
      <c r="I33" s="21" t="n">
        <f aca="false">D33/100</f>
        <v>1.46</v>
      </c>
      <c r="J33" s="22" t="s">
        <v>62</v>
      </c>
    </row>
    <row r="34" customFormat="false" ht="18" hidden="false" customHeight="true" outlineLevel="0" collapsed="false">
      <c r="B34" s="14" t="s">
        <v>63</v>
      </c>
      <c r="C34" s="24" t="s">
        <v>44</v>
      </c>
      <c r="D34" s="16" t="n">
        <v>52</v>
      </c>
      <c r="E34" s="16" t="n">
        <v>11.1</v>
      </c>
      <c r="F34" s="16" t="n">
        <v>0.8</v>
      </c>
      <c r="G34" s="16" t="n">
        <v>0.2</v>
      </c>
      <c r="H34" s="16" t="n">
        <v>0</v>
      </c>
      <c r="I34" s="17" t="n">
        <f aca="false">D34/100</f>
        <v>0.52</v>
      </c>
      <c r="J34" s="18" t="s">
        <v>64</v>
      </c>
    </row>
    <row r="35" customFormat="false" ht="18" hidden="false" customHeight="true" outlineLevel="0" collapsed="false">
      <c r="B35" s="19" t="s">
        <v>65</v>
      </c>
      <c r="C35" s="24" t="s">
        <v>44</v>
      </c>
      <c r="D35" s="20" t="n">
        <v>280</v>
      </c>
      <c r="E35" s="20" t="n">
        <v>28.9</v>
      </c>
      <c r="F35" s="20" t="n">
        <v>0</v>
      </c>
      <c r="G35" s="20" t="n">
        <v>17.4</v>
      </c>
      <c r="H35" s="20" t="n">
        <v>0</v>
      </c>
      <c r="I35" s="21" t="n">
        <f aca="false">D35/100</f>
        <v>2.8</v>
      </c>
      <c r="J35" s="22" t="s">
        <v>51</v>
      </c>
    </row>
    <row r="36" customFormat="false" ht="18" hidden="false" customHeight="true" outlineLevel="0" collapsed="false">
      <c r="B36" s="14" t="s">
        <v>66</v>
      </c>
      <c r="C36" s="24" t="s">
        <v>44</v>
      </c>
      <c r="D36" s="16" t="n">
        <v>109</v>
      </c>
      <c r="E36" s="16" t="n">
        <v>17.4</v>
      </c>
      <c r="F36" s="16" t="n">
        <v>1.9</v>
      </c>
      <c r="G36" s="16" t="n">
        <v>3.6</v>
      </c>
      <c r="H36" s="16" t="n">
        <v>0</v>
      </c>
      <c r="I36" s="17" t="n">
        <f aca="false">D36/100</f>
        <v>1.09</v>
      </c>
      <c r="J36" s="18" t="s">
        <v>67</v>
      </c>
    </row>
    <row r="37" customFormat="false" ht="24" hidden="false" customHeight="true" outlineLevel="0" collapsed="false">
      <c r="B37" s="25"/>
      <c r="C37" s="25"/>
      <c r="D37" s="25"/>
      <c r="E37" s="25"/>
      <c r="F37" s="25"/>
      <c r="G37" s="25"/>
      <c r="H37" s="25"/>
      <c r="I37" s="25"/>
      <c r="J37" s="25"/>
    </row>
    <row r="38" customFormat="false" ht="18" hidden="false" customHeight="true" outlineLevel="0" collapsed="false">
      <c r="B38" s="26" t="s">
        <v>68</v>
      </c>
      <c r="C38" s="27"/>
      <c r="D38" s="27"/>
      <c r="E38" s="27"/>
      <c r="F38" s="27"/>
      <c r="G38" s="27"/>
      <c r="H38" s="27"/>
      <c r="I38" s="27"/>
      <c r="J38" s="27"/>
    </row>
    <row r="39" customFormat="false" ht="18" hidden="false" customHeight="true" outlineLevel="0" collapsed="false">
      <c r="B39" s="14" t="s">
        <v>69</v>
      </c>
      <c r="C39" s="28" t="s">
        <v>70</v>
      </c>
      <c r="D39" s="16" t="n">
        <v>77</v>
      </c>
      <c r="E39" s="16" t="n">
        <v>4.5</v>
      </c>
      <c r="F39" s="16" t="n">
        <v>13.6</v>
      </c>
      <c r="G39" s="16" t="n">
        <v>0.5</v>
      </c>
      <c r="H39" s="16" t="n">
        <v>8.4</v>
      </c>
      <c r="I39" s="17" t="n">
        <f aca="false">D38/100</f>
        <v>0</v>
      </c>
      <c r="J39" s="18" t="s">
        <v>71</v>
      </c>
    </row>
    <row r="40" customFormat="false" ht="18" hidden="false" customHeight="true" outlineLevel="0" collapsed="false">
      <c r="B40" s="19" t="s">
        <v>72</v>
      </c>
      <c r="C40" s="28" t="s">
        <v>70</v>
      </c>
      <c r="D40" s="20" t="n">
        <v>76</v>
      </c>
      <c r="E40" s="20" t="n">
        <v>4.8</v>
      </c>
      <c r="F40" s="20" t="n">
        <v>13</v>
      </c>
      <c r="G40" s="20" t="n">
        <v>0.5</v>
      </c>
      <c r="H40" s="20" t="n">
        <v>8.5</v>
      </c>
      <c r="I40" s="21" t="n">
        <f aca="false">D39/100</f>
        <v>0.77</v>
      </c>
      <c r="J40" s="22" t="s">
        <v>73</v>
      </c>
    </row>
    <row r="41" customFormat="false" ht="18" hidden="false" customHeight="true" outlineLevel="0" collapsed="false">
      <c r="B41" s="14" t="s">
        <v>74</v>
      </c>
      <c r="C41" s="28" t="s">
        <v>70</v>
      </c>
      <c r="D41" s="16" t="n">
        <v>93</v>
      </c>
      <c r="E41" s="16" t="n">
        <v>6.3</v>
      </c>
      <c r="F41" s="16" t="n">
        <v>15.7</v>
      </c>
      <c r="G41" s="16" t="n">
        <v>0.5</v>
      </c>
      <c r="H41" s="16" t="n">
        <v>3.7</v>
      </c>
      <c r="I41" s="17" t="n">
        <f aca="false">D40/100</f>
        <v>0.76</v>
      </c>
      <c r="J41" s="18" t="s">
        <v>51</v>
      </c>
    </row>
    <row r="42" customFormat="false" ht="18" hidden="false" customHeight="true" outlineLevel="0" collapsed="false">
      <c r="B42" s="19" t="s">
        <v>75</v>
      </c>
      <c r="C42" s="28" t="s">
        <v>70</v>
      </c>
      <c r="D42" s="20" t="n">
        <v>164</v>
      </c>
      <c r="E42" s="20" t="n">
        <v>9</v>
      </c>
      <c r="F42" s="20" t="n">
        <v>27.4</v>
      </c>
      <c r="G42" s="20" t="n">
        <v>2.6</v>
      </c>
      <c r="H42" s="20" t="n">
        <v>6</v>
      </c>
      <c r="I42" s="21" t="n">
        <f aca="false">D41/100</f>
        <v>0.93</v>
      </c>
      <c r="J42" s="22" t="s">
        <v>76</v>
      </c>
    </row>
    <row r="43" customFormat="false" ht="18" hidden="false" customHeight="true" outlineLevel="0" collapsed="false">
      <c r="B43" s="14" t="s">
        <v>77</v>
      </c>
      <c r="C43" s="28" t="s">
        <v>70</v>
      </c>
      <c r="D43" s="16" t="n">
        <v>95</v>
      </c>
      <c r="E43" s="16" t="n">
        <v>6.5</v>
      </c>
      <c r="F43" s="16" t="n">
        <v>16.8</v>
      </c>
      <c r="G43" s="16" t="n">
        <v>0.2</v>
      </c>
      <c r="H43" s="16" t="n">
        <v>6</v>
      </c>
      <c r="I43" s="17" t="n">
        <f aca="false">D42/100</f>
        <v>1.64</v>
      </c>
      <c r="J43" s="18" t="s">
        <v>51</v>
      </c>
    </row>
    <row r="44" customFormat="false" ht="18" hidden="false" customHeight="true" outlineLevel="0" collapsed="false">
      <c r="B44" s="19" t="s">
        <v>78</v>
      </c>
      <c r="C44" s="28" t="s">
        <v>70</v>
      </c>
      <c r="D44" s="20" t="n">
        <v>141</v>
      </c>
      <c r="E44" s="20" t="n">
        <v>13.6</v>
      </c>
      <c r="F44" s="20" t="n">
        <v>12.1</v>
      </c>
      <c r="G44" s="20" t="n">
        <v>5.7</v>
      </c>
      <c r="H44" s="20" t="n">
        <v>9</v>
      </c>
      <c r="I44" s="21" t="n">
        <f aca="false">D43/100</f>
        <v>0.95</v>
      </c>
      <c r="J44" s="22" t="s">
        <v>79</v>
      </c>
    </row>
    <row r="45" customFormat="false" ht="18" hidden="false" customHeight="true" outlineLevel="0" collapsed="false">
      <c r="B45" s="14" t="s">
        <v>80</v>
      </c>
      <c r="C45" s="28" t="s">
        <v>70</v>
      </c>
      <c r="D45" s="16" t="n">
        <v>68</v>
      </c>
      <c r="E45" s="16" t="n">
        <v>6.6</v>
      </c>
      <c r="F45" s="16" t="n">
        <v>1.2</v>
      </c>
      <c r="G45" s="16" t="n">
        <v>4.2</v>
      </c>
      <c r="H45" s="16" t="n">
        <v>0.3</v>
      </c>
      <c r="I45" s="17" t="n">
        <f aca="false">D44/100</f>
        <v>1.41</v>
      </c>
      <c r="J45" s="18" t="s">
        <v>81</v>
      </c>
    </row>
    <row r="46" customFormat="false" ht="6" hidden="false" customHeight="true" outlineLevel="0" collapsed="false">
      <c r="B46" s="19" t="s">
        <v>82</v>
      </c>
      <c r="C46" s="28" t="s">
        <v>70</v>
      </c>
      <c r="D46" s="20" t="n">
        <v>122</v>
      </c>
      <c r="E46" s="20" t="n">
        <v>11.9</v>
      </c>
      <c r="F46" s="20" t="n">
        <v>8.9</v>
      </c>
      <c r="G46" s="20" t="n">
        <v>5.2</v>
      </c>
      <c r="H46" s="20" t="n">
        <v>5.2</v>
      </c>
      <c r="I46" s="21" t="n">
        <f aca="false">D45/100</f>
        <v>0.68</v>
      </c>
      <c r="J46" s="22" t="s">
        <v>83</v>
      </c>
    </row>
    <row r="47" customFormat="false" ht="24" hidden="false" customHeight="true" outlineLevel="0" collapsed="false">
      <c r="B47" s="25"/>
      <c r="C47" s="25"/>
      <c r="D47" s="25"/>
      <c r="E47" s="25"/>
      <c r="F47" s="25"/>
      <c r="G47" s="25"/>
      <c r="H47" s="25"/>
      <c r="I47" s="25"/>
      <c r="J47" s="25"/>
    </row>
    <row r="48" customFormat="false" ht="18" hidden="false" customHeight="true" outlineLevel="0" collapsed="false">
      <c r="B48" s="29" t="s">
        <v>84</v>
      </c>
      <c r="C48" s="27"/>
      <c r="D48" s="27"/>
      <c r="E48" s="27"/>
      <c r="F48" s="27"/>
      <c r="G48" s="27"/>
      <c r="H48" s="27"/>
      <c r="I48" s="27"/>
      <c r="J48" s="27"/>
    </row>
    <row r="49" customFormat="false" ht="18" hidden="false" customHeight="true" outlineLevel="0" collapsed="false">
      <c r="B49" s="14" t="s">
        <v>85</v>
      </c>
      <c r="C49" s="30" t="s">
        <v>86</v>
      </c>
      <c r="D49" s="16" t="n">
        <v>61</v>
      </c>
      <c r="E49" s="16" t="n">
        <v>3.2</v>
      </c>
      <c r="F49" s="16" t="n">
        <v>4.7</v>
      </c>
      <c r="G49" s="16" t="n">
        <v>3.2</v>
      </c>
      <c r="H49" s="16" t="n">
        <v>0</v>
      </c>
      <c r="I49" s="17" t="n">
        <f aca="false">D48/100</f>
        <v>0</v>
      </c>
      <c r="J49" s="18" t="s">
        <v>51</v>
      </c>
    </row>
    <row r="50" customFormat="false" ht="18" hidden="false" customHeight="true" outlineLevel="0" collapsed="false">
      <c r="B50" s="19" t="s">
        <v>87</v>
      </c>
      <c r="C50" s="30" t="s">
        <v>86</v>
      </c>
      <c r="D50" s="20" t="n">
        <v>35</v>
      </c>
      <c r="E50" s="20" t="n">
        <v>3.5</v>
      </c>
      <c r="F50" s="20" t="n">
        <v>5.1</v>
      </c>
      <c r="G50" s="20" t="n">
        <v>0.2</v>
      </c>
      <c r="H50" s="20" t="n">
        <v>0</v>
      </c>
      <c r="I50" s="21" t="n">
        <f aca="false">D49/100</f>
        <v>0.61</v>
      </c>
      <c r="J50" s="22" t="s">
        <v>88</v>
      </c>
    </row>
    <row r="51" customFormat="false" ht="18" hidden="false" customHeight="true" outlineLevel="0" collapsed="false">
      <c r="B51" s="14" t="s">
        <v>89</v>
      </c>
      <c r="C51" s="30" t="s">
        <v>86</v>
      </c>
      <c r="D51" s="16" t="n">
        <v>74</v>
      </c>
      <c r="E51" s="16" t="n">
        <v>4.3</v>
      </c>
      <c r="F51" s="16" t="n">
        <v>4.8</v>
      </c>
      <c r="G51" s="16" t="n">
        <v>4</v>
      </c>
      <c r="H51" s="16" t="n">
        <v>0</v>
      </c>
      <c r="I51" s="17" t="n">
        <f aca="false">D50/100</f>
        <v>0.35</v>
      </c>
      <c r="J51" s="18" t="s">
        <v>51</v>
      </c>
    </row>
    <row r="52" customFormat="false" ht="18" hidden="false" customHeight="true" outlineLevel="0" collapsed="false">
      <c r="B52" s="19" t="s">
        <v>90</v>
      </c>
      <c r="C52" s="30" t="s">
        <v>86</v>
      </c>
      <c r="D52" s="20" t="n">
        <v>97</v>
      </c>
      <c r="E52" s="20" t="n">
        <v>9</v>
      </c>
      <c r="F52" s="20" t="n">
        <v>3.6</v>
      </c>
      <c r="G52" s="20" t="n">
        <v>5</v>
      </c>
      <c r="H52" s="20" t="n">
        <v>0</v>
      </c>
      <c r="I52" s="21" t="n">
        <f aca="false">D51/100</f>
        <v>0.74</v>
      </c>
      <c r="J52" s="22" t="s">
        <v>91</v>
      </c>
    </row>
    <row r="53" customFormat="false" ht="18" hidden="false" customHeight="true" outlineLevel="0" collapsed="false">
      <c r="B53" s="14" t="s">
        <v>92</v>
      </c>
      <c r="C53" s="30" t="s">
        <v>86</v>
      </c>
      <c r="D53" s="16" t="n">
        <v>97</v>
      </c>
      <c r="E53" s="16" t="n">
        <v>11.1</v>
      </c>
      <c r="F53" s="16" t="n">
        <v>2.7</v>
      </c>
      <c r="G53" s="16" t="n">
        <v>4.3</v>
      </c>
      <c r="H53" s="16" t="n">
        <v>0</v>
      </c>
      <c r="I53" s="17" t="n">
        <f aca="false">D52/100</f>
        <v>0.97</v>
      </c>
      <c r="J53" s="18" t="s">
        <v>51</v>
      </c>
    </row>
    <row r="54" customFormat="false" ht="18" hidden="false" customHeight="true" outlineLevel="0" collapsed="false">
      <c r="B54" s="19" t="s">
        <v>93</v>
      </c>
      <c r="C54" s="30" t="s">
        <v>86</v>
      </c>
      <c r="D54" s="20" t="n">
        <v>289</v>
      </c>
      <c r="E54" s="20" t="n">
        <v>18</v>
      </c>
      <c r="F54" s="20" t="n">
        <v>2.6</v>
      </c>
      <c r="G54" s="20" t="n">
        <v>22.9</v>
      </c>
      <c r="H54" s="20" t="n">
        <v>0</v>
      </c>
      <c r="I54" s="21" t="n">
        <f aca="false">D53/100</f>
        <v>0.97</v>
      </c>
      <c r="J54" s="22" t="s">
        <v>51</v>
      </c>
    </row>
    <row r="55" customFormat="false" ht="18" hidden="false" customHeight="true" outlineLevel="0" collapsed="false">
      <c r="B55" s="14" t="s">
        <v>94</v>
      </c>
      <c r="C55" s="30" t="s">
        <v>86</v>
      </c>
      <c r="D55" s="16" t="n">
        <v>452</v>
      </c>
      <c r="E55" s="16" t="n">
        <v>35.8</v>
      </c>
      <c r="F55" s="16" t="n">
        <v>4</v>
      </c>
      <c r="G55" s="16" t="n">
        <v>32.7</v>
      </c>
      <c r="H55" s="16" t="n">
        <v>0</v>
      </c>
      <c r="I55" s="17" t="n">
        <f aca="false">D54/100</f>
        <v>2.89</v>
      </c>
      <c r="J55" s="18" t="s">
        <v>95</v>
      </c>
    </row>
    <row r="56" customFormat="false" ht="18" hidden="false" customHeight="true" outlineLevel="0" collapsed="false">
      <c r="B56" s="19" t="s">
        <v>96</v>
      </c>
      <c r="C56" s="30" t="s">
        <v>86</v>
      </c>
      <c r="D56" s="20" t="n">
        <v>350</v>
      </c>
      <c r="E56" s="20" t="n">
        <v>5.8</v>
      </c>
      <c r="F56" s="20" t="n">
        <v>4.1</v>
      </c>
      <c r="G56" s="20" t="n">
        <v>34.9</v>
      </c>
      <c r="H56" s="20" t="n">
        <v>0</v>
      </c>
      <c r="I56" s="21" t="n">
        <f aca="false">D55/100</f>
        <v>4.52</v>
      </c>
      <c r="J56" s="22" t="s">
        <v>51</v>
      </c>
    </row>
    <row r="57" customFormat="false" ht="24" hidden="false" customHeight="true" outlineLevel="0" collapsed="false">
      <c r="B57" s="14" t="s">
        <v>97</v>
      </c>
      <c r="C57" s="14" t="s">
        <v>86</v>
      </c>
      <c r="D57" s="14" t="n">
        <v>152</v>
      </c>
      <c r="E57" s="14" t="n">
        <v>7.5</v>
      </c>
      <c r="F57" s="14" t="n">
        <v>3.2</v>
      </c>
      <c r="G57" s="14" t="n">
        <v>12</v>
      </c>
      <c r="H57" s="14" t="n">
        <v>0</v>
      </c>
      <c r="I57" s="14" t="n">
        <f aca="false">D56/100</f>
        <v>3.5</v>
      </c>
      <c r="J57" s="14" t="s">
        <v>98</v>
      </c>
    </row>
    <row r="58" customFormat="false" ht="18" hidden="false" customHeight="true" outlineLevel="0" collapsed="false"/>
    <row r="59" customFormat="false" ht="18" hidden="false" customHeight="true" outlineLevel="0" collapsed="false">
      <c r="B59" s="31" t="s">
        <v>99</v>
      </c>
      <c r="C59" s="27"/>
      <c r="D59" s="27"/>
      <c r="E59" s="27"/>
      <c r="F59" s="27"/>
      <c r="G59" s="27"/>
      <c r="H59" s="27"/>
      <c r="I59" s="27"/>
      <c r="J59" s="27"/>
    </row>
    <row r="60" customFormat="false" ht="18" hidden="false" customHeight="true" outlineLevel="0" collapsed="false">
      <c r="B60" s="14" t="s">
        <v>100</v>
      </c>
      <c r="C60" s="32" t="s">
        <v>101</v>
      </c>
      <c r="D60" s="16" t="n">
        <v>11</v>
      </c>
      <c r="E60" s="16" t="n">
        <v>1.3</v>
      </c>
      <c r="F60" s="16" t="n">
        <v>1.7</v>
      </c>
      <c r="G60" s="16" t="n">
        <v>0.2</v>
      </c>
      <c r="H60" s="16" t="n">
        <v>1.8</v>
      </c>
      <c r="I60" s="17" t="n">
        <f aca="false">D58/100</f>
        <v>0</v>
      </c>
      <c r="J60" s="18" t="s">
        <v>102</v>
      </c>
    </row>
    <row r="61" customFormat="false" ht="18" hidden="false" customHeight="true" outlineLevel="0" collapsed="false">
      <c r="B61" s="19" t="s">
        <v>103</v>
      </c>
      <c r="C61" s="32" t="s">
        <v>101</v>
      </c>
      <c r="D61" s="20" t="n">
        <v>12</v>
      </c>
      <c r="E61" s="20" t="n">
        <v>1.1</v>
      </c>
      <c r="F61" s="20" t="n">
        <v>2.1</v>
      </c>
      <c r="G61" s="20" t="n">
        <v>0.2</v>
      </c>
      <c r="H61" s="20" t="n">
        <v>1.5</v>
      </c>
      <c r="I61" s="21" t="n">
        <f aca="false">D59/100</f>
        <v>0</v>
      </c>
      <c r="J61" s="22" t="s">
        <v>51</v>
      </c>
    </row>
    <row r="62" customFormat="false" ht="18" hidden="false" customHeight="true" outlineLevel="0" collapsed="false">
      <c r="B62" s="14" t="s">
        <v>104</v>
      </c>
      <c r="C62" s="32" t="s">
        <v>101</v>
      </c>
      <c r="D62" s="16" t="n">
        <v>25</v>
      </c>
      <c r="E62" s="16" t="n">
        <v>2.6</v>
      </c>
      <c r="F62" s="16" t="n">
        <v>3.7</v>
      </c>
      <c r="G62" s="16" t="n">
        <v>0.4</v>
      </c>
      <c r="H62" s="16" t="n">
        <v>1.6</v>
      </c>
      <c r="I62" s="17" t="n">
        <f aca="false">D60/100</f>
        <v>0.11</v>
      </c>
      <c r="J62" s="18" t="s">
        <v>105</v>
      </c>
    </row>
    <row r="63" customFormat="false" ht="18" hidden="false" customHeight="true" outlineLevel="0" collapsed="false">
      <c r="B63" s="19" t="s">
        <v>106</v>
      </c>
      <c r="C63" s="32" t="s">
        <v>101</v>
      </c>
      <c r="D63" s="20" t="n">
        <v>24</v>
      </c>
      <c r="E63" s="20" t="n">
        <v>2.2</v>
      </c>
      <c r="F63" s="20" t="n">
        <v>3.6</v>
      </c>
      <c r="G63" s="20" t="n">
        <v>0.3</v>
      </c>
      <c r="H63" s="20" t="n">
        <v>2.5</v>
      </c>
      <c r="I63" s="21" t="n">
        <f aca="false">D61/100</f>
        <v>0.12</v>
      </c>
      <c r="J63" s="22" t="s">
        <v>71</v>
      </c>
    </row>
    <row r="64" customFormat="false" ht="18" hidden="false" customHeight="true" outlineLevel="0" collapsed="false">
      <c r="B64" s="14" t="s">
        <v>107</v>
      </c>
      <c r="C64" s="32" t="s">
        <v>101</v>
      </c>
      <c r="D64" s="16" t="n">
        <v>22</v>
      </c>
      <c r="E64" s="16" t="n">
        <v>1.3</v>
      </c>
      <c r="F64" s="16" t="n">
        <v>4.1</v>
      </c>
      <c r="G64" s="16" t="n">
        <v>0.1</v>
      </c>
      <c r="H64" s="16" t="n">
        <v>1.9</v>
      </c>
      <c r="I64" s="17" t="n">
        <f aca="false">D62/100</f>
        <v>0.25</v>
      </c>
      <c r="J64" s="18" t="s">
        <v>51</v>
      </c>
    </row>
    <row r="65" customFormat="false" ht="18" hidden="false" customHeight="true" outlineLevel="0" collapsed="false">
      <c r="B65" s="19" t="s">
        <v>108</v>
      </c>
      <c r="C65" s="32" t="s">
        <v>101</v>
      </c>
      <c r="D65" s="20" t="n">
        <v>16</v>
      </c>
      <c r="E65" s="20" t="n">
        <v>1.5</v>
      </c>
      <c r="F65" s="20" t="n">
        <v>2.6</v>
      </c>
      <c r="G65" s="20" t="n">
        <v>0.1</v>
      </c>
      <c r="H65" s="20" t="n">
        <v>1.6</v>
      </c>
      <c r="I65" s="21" t="n">
        <f aca="false">D63/100</f>
        <v>0.24</v>
      </c>
      <c r="J65" s="22" t="s">
        <v>51</v>
      </c>
    </row>
    <row r="66" customFormat="false" ht="18" hidden="false" customHeight="true" outlineLevel="0" collapsed="false">
      <c r="B66" s="14" t="s">
        <v>109</v>
      </c>
      <c r="C66" s="32" t="s">
        <v>101</v>
      </c>
      <c r="D66" s="16" t="n">
        <v>22</v>
      </c>
      <c r="E66" s="16" t="n">
        <v>2.3</v>
      </c>
      <c r="F66" s="16" t="n">
        <v>3.3</v>
      </c>
      <c r="G66" s="16" t="n">
        <v>0.2</v>
      </c>
      <c r="H66" s="16" t="n">
        <v>1</v>
      </c>
      <c r="I66" s="17" t="n">
        <f aca="false">D64/100</f>
        <v>0.22</v>
      </c>
      <c r="J66" s="18" t="s">
        <v>51</v>
      </c>
    </row>
    <row r="67" customFormat="false" ht="18" hidden="false" customHeight="true" outlineLevel="0" collapsed="false">
      <c r="B67" s="19" t="s">
        <v>110</v>
      </c>
      <c r="C67" s="32" t="s">
        <v>101</v>
      </c>
      <c r="D67" s="20" t="n">
        <v>45</v>
      </c>
      <c r="E67" s="20" t="n">
        <v>3.8</v>
      </c>
      <c r="F67" s="20" t="n">
        <v>7.7</v>
      </c>
      <c r="G67" s="20" t="n">
        <v>0.5</v>
      </c>
      <c r="H67" s="20" t="n">
        <v>3.2</v>
      </c>
      <c r="I67" s="21" t="n">
        <f aca="false">D65/100</f>
        <v>0.16</v>
      </c>
      <c r="J67" s="22" t="s">
        <v>111</v>
      </c>
    </row>
    <row r="68" customFormat="false" ht="18" hidden="false" customHeight="true" outlineLevel="0" collapsed="false">
      <c r="B68" s="14" t="s">
        <v>112</v>
      </c>
      <c r="C68" s="32" t="s">
        <v>101</v>
      </c>
      <c r="D68" s="16" t="n">
        <v>18</v>
      </c>
      <c r="E68" s="16" t="n">
        <v>0.9</v>
      </c>
      <c r="F68" s="16" t="n">
        <v>3.5</v>
      </c>
      <c r="G68" s="16" t="n">
        <v>0.2</v>
      </c>
      <c r="H68" s="16" t="n">
        <v>1.2</v>
      </c>
      <c r="I68" s="17" t="n">
        <f aca="false">D66/100</f>
        <v>0.22</v>
      </c>
      <c r="J68" s="18" t="s">
        <v>113</v>
      </c>
    </row>
    <row r="69" customFormat="false" ht="18" hidden="false" customHeight="true" outlineLevel="0" collapsed="false">
      <c r="B69" s="19" t="s">
        <v>114</v>
      </c>
      <c r="C69" s="32" t="s">
        <v>101</v>
      </c>
      <c r="D69" s="20" t="n">
        <v>13</v>
      </c>
      <c r="E69" s="20" t="n">
        <v>0.7</v>
      </c>
      <c r="F69" s="20" t="n">
        <v>2.7</v>
      </c>
      <c r="G69" s="20" t="n">
        <v>0.1</v>
      </c>
      <c r="H69" s="20" t="n">
        <v>0.5</v>
      </c>
      <c r="I69" s="21" t="n">
        <f aca="false">D67/100</f>
        <v>0.45</v>
      </c>
      <c r="J69" s="22" t="s">
        <v>115</v>
      </c>
    </row>
    <row r="70" customFormat="false" ht="18" hidden="false" customHeight="true" outlineLevel="0" collapsed="false">
      <c r="B70" s="14" t="s">
        <v>116</v>
      </c>
      <c r="C70" s="32" t="s">
        <v>101</v>
      </c>
      <c r="D70" s="16" t="n">
        <v>34</v>
      </c>
      <c r="E70" s="16" t="n">
        <v>0.9</v>
      </c>
      <c r="F70" s="16" t="n">
        <v>7.7</v>
      </c>
      <c r="G70" s="16" t="n">
        <v>0.2</v>
      </c>
      <c r="H70" s="16" t="n">
        <v>3.2</v>
      </c>
      <c r="I70" s="17" t="n">
        <f aca="false">D68/100</f>
        <v>0.18</v>
      </c>
      <c r="J70" s="18" t="s">
        <v>117</v>
      </c>
    </row>
    <row r="71" customFormat="false" ht="18" hidden="false" customHeight="true" outlineLevel="0" collapsed="false">
      <c r="B71" s="19" t="s">
        <v>118</v>
      </c>
      <c r="C71" s="32" t="s">
        <v>101</v>
      </c>
      <c r="D71" s="20" t="n">
        <v>43</v>
      </c>
      <c r="E71" s="20" t="n">
        <v>1.6</v>
      </c>
      <c r="F71" s="20" t="n">
        <v>9.3</v>
      </c>
      <c r="G71" s="20" t="n">
        <v>0.1</v>
      </c>
      <c r="H71" s="20" t="n">
        <v>2.8</v>
      </c>
      <c r="I71" s="21" t="n">
        <f aca="false">D69/100</f>
        <v>0.13</v>
      </c>
      <c r="J71" s="22" t="s">
        <v>51</v>
      </c>
    </row>
    <row r="72" customFormat="false" ht="18" hidden="false" customHeight="true" outlineLevel="0" collapsed="false">
      <c r="B72" s="14" t="s">
        <v>119</v>
      </c>
      <c r="C72" s="32" t="s">
        <v>101</v>
      </c>
      <c r="D72" s="16" t="n">
        <v>20</v>
      </c>
      <c r="E72" s="16" t="n">
        <v>0.8</v>
      </c>
      <c r="F72" s="16" t="n">
        <v>4.1</v>
      </c>
      <c r="G72" s="16" t="n">
        <v>0.1</v>
      </c>
      <c r="H72" s="16" t="n">
        <v>1.9</v>
      </c>
      <c r="I72" s="17" t="n">
        <f aca="false">D70/100</f>
        <v>0.34</v>
      </c>
      <c r="J72" s="18" t="s">
        <v>51</v>
      </c>
    </row>
    <row r="73" customFormat="false" ht="6" hidden="false" customHeight="true" outlineLevel="0" collapsed="false">
      <c r="B73" s="19" t="s">
        <v>120</v>
      </c>
      <c r="C73" s="32" t="s">
        <v>101</v>
      </c>
      <c r="D73" s="20" t="n">
        <v>40</v>
      </c>
      <c r="E73" s="20" t="n">
        <v>1.2</v>
      </c>
      <c r="F73" s="20" t="n">
        <v>9</v>
      </c>
      <c r="G73" s="20" t="n">
        <v>0.1</v>
      </c>
      <c r="H73" s="20" t="n">
        <v>1.7</v>
      </c>
      <c r="I73" s="21" t="n">
        <f aca="false">D71/100</f>
        <v>0.43</v>
      </c>
      <c r="J73" s="22" t="s">
        <v>51</v>
      </c>
    </row>
    <row r="74" customFormat="false" ht="24" hidden="false" customHeight="true" outlineLevel="0" collapsed="false">
      <c r="B74" s="14" t="s">
        <v>121</v>
      </c>
      <c r="C74" s="14" t="s">
        <v>101</v>
      </c>
      <c r="D74" s="14" t="n">
        <v>131</v>
      </c>
      <c r="E74" s="14" t="n">
        <v>6.4</v>
      </c>
      <c r="F74" s="14" t="n">
        <v>26.4</v>
      </c>
      <c r="G74" s="14" t="n">
        <v>0.5</v>
      </c>
      <c r="H74" s="14" t="n">
        <v>4.1</v>
      </c>
      <c r="I74" s="14" t="n">
        <f aca="false">D72/100</f>
        <v>0.2</v>
      </c>
      <c r="J74" s="14" t="s">
        <v>122</v>
      </c>
    </row>
    <row r="75" customFormat="false" ht="18" hidden="false" customHeight="true" outlineLevel="0" collapsed="false"/>
    <row r="76" customFormat="false" ht="18" hidden="false" customHeight="true" outlineLevel="0" collapsed="false">
      <c r="B76" s="33" t="s">
        <v>123</v>
      </c>
      <c r="C76" s="27"/>
      <c r="D76" s="27"/>
      <c r="E76" s="27"/>
      <c r="F76" s="27"/>
      <c r="G76" s="27"/>
      <c r="H76" s="27"/>
      <c r="I76" s="27"/>
      <c r="J76" s="27"/>
    </row>
    <row r="77" customFormat="false" ht="18" hidden="false" customHeight="true" outlineLevel="0" collapsed="false">
      <c r="B77" s="19" t="s">
        <v>124</v>
      </c>
      <c r="C77" s="34" t="s">
        <v>125</v>
      </c>
      <c r="D77" s="20" t="n">
        <v>22</v>
      </c>
      <c r="E77" s="20" t="n">
        <v>2.6</v>
      </c>
      <c r="F77" s="20" t="n">
        <v>3.5</v>
      </c>
      <c r="G77" s="20" t="n">
        <v>0.3</v>
      </c>
      <c r="H77" s="20" t="n">
        <v>3</v>
      </c>
      <c r="I77" s="21" t="n">
        <f aca="false">D75/100</f>
        <v>0</v>
      </c>
      <c r="J77" s="22" t="s">
        <v>126</v>
      </c>
    </row>
    <row r="78" customFormat="false" ht="18" hidden="false" customHeight="true" outlineLevel="0" collapsed="false">
      <c r="B78" s="14" t="s">
        <v>127</v>
      </c>
      <c r="C78" s="34" t="s">
        <v>125</v>
      </c>
      <c r="D78" s="16" t="n">
        <v>23</v>
      </c>
      <c r="E78" s="16" t="n">
        <v>2.2</v>
      </c>
      <c r="F78" s="16" t="n">
        <v>3.9</v>
      </c>
      <c r="G78" s="16" t="n">
        <v>0.2</v>
      </c>
      <c r="H78" s="16" t="n">
        <v>2.2</v>
      </c>
      <c r="I78" s="17" t="n">
        <f aca="false">D76/100</f>
        <v>0</v>
      </c>
      <c r="J78" s="18" t="s">
        <v>51</v>
      </c>
    </row>
    <row r="79" customFormat="false" ht="18" hidden="false" customHeight="true" outlineLevel="0" collapsed="false">
      <c r="B79" s="19" t="s">
        <v>128</v>
      </c>
      <c r="C79" s="34" t="s">
        <v>125</v>
      </c>
      <c r="D79" s="20" t="n">
        <v>12</v>
      </c>
      <c r="E79" s="20" t="n">
        <v>0.8</v>
      </c>
      <c r="F79" s="20" t="n">
        <v>2.3</v>
      </c>
      <c r="G79" s="20" t="n">
        <v>0.1</v>
      </c>
      <c r="H79" s="20" t="n">
        <v>1.1</v>
      </c>
      <c r="I79" s="21" t="n">
        <f aca="false">D77/100</f>
        <v>0.22</v>
      </c>
      <c r="J79" s="22" t="s">
        <v>64</v>
      </c>
    </row>
    <row r="80" customFormat="false" ht="18" hidden="false" customHeight="true" outlineLevel="0" collapsed="false">
      <c r="B80" s="14" t="s">
        <v>129</v>
      </c>
      <c r="C80" s="34" t="s">
        <v>125</v>
      </c>
      <c r="D80" s="16" t="n">
        <v>17</v>
      </c>
      <c r="E80" s="16" t="n">
        <v>0.8</v>
      </c>
      <c r="F80" s="16" t="n">
        <v>3.7</v>
      </c>
      <c r="G80" s="16" t="n">
        <v>0.1</v>
      </c>
      <c r="H80" s="16" t="n">
        <v>2.7</v>
      </c>
      <c r="I80" s="17" t="n">
        <f aca="false">D78/100</f>
        <v>0.23</v>
      </c>
      <c r="J80" s="18" t="s">
        <v>51</v>
      </c>
    </row>
    <row r="81" customFormat="false" ht="18" hidden="false" customHeight="true" outlineLevel="0" collapsed="false">
      <c r="B81" s="19" t="s">
        <v>130</v>
      </c>
      <c r="C81" s="34" t="s">
        <v>125</v>
      </c>
      <c r="D81" s="20" t="n">
        <v>17</v>
      </c>
      <c r="E81" s="20" t="n">
        <v>0.7</v>
      </c>
      <c r="F81" s="20" t="n">
        <v>3.8</v>
      </c>
      <c r="G81" s="20" t="n">
        <v>0.1</v>
      </c>
      <c r="H81" s="20" t="n">
        <v>1.4</v>
      </c>
      <c r="I81" s="21" t="n">
        <f aca="false">D79/100</f>
        <v>0.12</v>
      </c>
      <c r="J81" s="22" t="s">
        <v>51</v>
      </c>
    </row>
    <row r="82" customFormat="false" ht="18" hidden="false" customHeight="true" outlineLevel="0" collapsed="false">
      <c r="B82" s="14" t="s">
        <v>131</v>
      </c>
      <c r="C82" s="34" t="s">
        <v>125</v>
      </c>
      <c r="D82" s="16" t="n">
        <v>31</v>
      </c>
      <c r="E82" s="16" t="n">
        <v>2</v>
      </c>
      <c r="F82" s="16" t="n">
        <v>5.9</v>
      </c>
      <c r="G82" s="16" t="n">
        <v>0.2</v>
      </c>
      <c r="H82" s="16" t="n">
        <v>3.1</v>
      </c>
      <c r="I82" s="17" t="n">
        <f aca="false">D80/100</f>
        <v>0.17</v>
      </c>
      <c r="J82" s="18" t="s">
        <v>51</v>
      </c>
    </row>
    <row r="83" customFormat="false" ht="18" hidden="false" customHeight="true" outlineLevel="0" collapsed="false">
      <c r="B83" s="19" t="s">
        <v>132</v>
      </c>
      <c r="C83" s="34" t="s">
        <v>125</v>
      </c>
      <c r="D83" s="20" t="n">
        <v>28</v>
      </c>
      <c r="E83" s="20" t="n">
        <v>1</v>
      </c>
      <c r="F83" s="20" t="n">
        <v>6.1</v>
      </c>
      <c r="G83" s="20" t="n">
        <v>0.3</v>
      </c>
      <c r="H83" s="20" t="n">
        <v>2.1</v>
      </c>
      <c r="I83" s="21" t="n">
        <f aca="false">D81/100</f>
        <v>0.17</v>
      </c>
      <c r="J83" s="22" t="s">
        <v>133</v>
      </c>
    </row>
    <row r="84" customFormat="false" ht="18" hidden="false" customHeight="true" outlineLevel="0" collapsed="false">
      <c r="B84" s="14" t="s">
        <v>134</v>
      </c>
      <c r="C84" s="34" t="s">
        <v>125</v>
      </c>
      <c r="D84" s="16" t="n">
        <v>21</v>
      </c>
      <c r="E84" s="16" t="n">
        <v>0.9</v>
      </c>
      <c r="F84" s="16" t="n">
        <v>4.4</v>
      </c>
      <c r="G84" s="16" t="n">
        <v>0.2</v>
      </c>
      <c r="H84" s="16" t="n">
        <v>1.9</v>
      </c>
      <c r="I84" s="17" t="n">
        <f aca="false">D82/100</f>
        <v>0.31</v>
      </c>
      <c r="J84" s="18" t="s">
        <v>51</v>
      </c>
    </row>
    <row r="85" customFormat="false" ht="18" hidden="false" customHeight="true" outlineLevel="0" collapsed="false">
      <c r="B85" s="19" t="s">
        <v>135</v>
      </c>
      <c r="C85" s="34" t="s">
        <v>125</v>
      </c>
      <c r="D85" s="20" t="n">
        <v>86</v>
      </c>
      <c r="E85" s="20" t="n">
        <v>2.7</v>
      </c>
      <c r="F85" s="20" t="n">
        <v>19.2</v>
      </c>
      <c r="G85" s="20" t="n">
        <v>1</v>
      </c>
      <c r="H85" s="20" t="n">
        <v>2.4</v>
      </c>
      <c r="I85" s="21" t="n">
        <f aca="false">D83/100</f>
        <v>0.28</v>
      </c>
      <c r="J85" s="22" t="s">
        <v>51</v>
      </c>
    </row>
    <row r="86" customFormat="false" ht="18" hidden="false" customHeight="true" outlineLevel="0" collapsed="false">
      <c r="B86" s="14" t="s">
        <v>136</v>
      </c>
      <c r="C86" s="34" t="s">
        <v>125</v>
      </c>
      <c r="D86" s="16" t="n">
        <v>92</v>
      </c>
      <c r="E86" s="16" t="n">
        <v>1.1</v>
      </c>
      <c r="F86" s="16" t="n">
        <v>21.7</v>
      </c>
      <c r="G86" s="16" t="n">
        <v>0.4</v>
      </c>
      <c r="H86" s="16" t="n">
        <v>1.8</v>
      </c>
      <c r="I86" s="17" t="n">
        <f aca="false">D84/100</f>
        <v>0.21</v>
      </c>
      <c r="J86" s="18" t="s">
        <v>137</v>
      </c>
    </row>
    <row r="87" customFormat="false" ht="6" hidden="false" customHeight="true" outlineLevel="0" collapsed="false">
      <c r="B87" s="19" t="s">
        <v>138</v>
      </c>
      <c r="C87" s="34" t="s">
        <v>125</v>
      </c>
      <c r="D87" s="20" t="n">
        <v>26</v>
      </c>
      <c r="E87" s="20" t="n">
        <v>0.7</v>
      </c>
      <c r="F87" s="20" t="n">
        <v>6</v>
      </c>
      <c r="G87" s="20" t="n">
        <v>0.1</v>
      </c>
      <c r="H87" s="20" t="n">
        <v>2</v>
      </c>
      <c r="I87" s="21" t="n">
        <f aca="false">D85/100</f>
        <v>0.86</v>
      </c>
      <c r="J87" s="22" t="s">
        <v>51</v>
      </c>
    </row>
    <row r="88" customFormat="false" ht="24" hidden="false" customHeight="true" outlineLevel="0" collapsed="false">
      <c r="B88" s="14" t="s">
        <v>139</v>
      </c>
      <c r="C88" s="14" t="s">
        <v>125</v>
      </c>
      <c r="D88" s="14" t="n">
        <v>28</v>
      </c>
      <c r="E88" s="14" t="n">
        <v>2.3</v>
      </c>
      <c r="F88" s="14" t="n">
        <v>5.2</v>
      </c>
      <c r="G88" s="14" t="n">
        <v>0.3</v>
      </c>
      <c r="H88" s="14" t="n">
        <v>2.7</v>
      </c>
      <c r="I88" s="14" t="n">
        <f aca="false">D86/100</f>
        <v>0.92</v>
      </c>
      <c r="J88" s="14" t="s">
        <v>51</v>
      </c>
    </row>
    <row r="89" customFormat="false" ht="18" hidden="false" customHeight="true" outlineLevel="0" collapsed="false"/>
    <row r="90" customFormat="false" ht="18" hidden="false" customHeight="true" outlineLevel="0" collapsed="false">
      <c r="B90" s="35" t="s">
        <v>140</v>
      </c>
      <c r="C90" s="27"/>
      <c r="D90" s="27"/>
      <c r="E90" s="27"/>
      <c r="F90" s="27"/>
      <c r="G90" s="27"/>
      <c r="H90" s="27"/>
      <c r="I90" s="27"/>
      <c r="J90" s="27"/>
    </row>
    <row r="91" customFormat="false" ht="18" hidden="false" customHeight="true" outlineLevel="0" collapsed="false">
      <c r="B91" s="19" t="s">
        <v>141</v>
      </c>
      <c r="C91" s="36" t="s">
        <v>142</v>
      </c>
      <c r="D91" s="20" t="n">
        <v>92</v>
      </c>
      <c r="E91" s="20" t="n">
        <v>1.3</v>
      </c>
      <c r="F91" s="20" t="n">
        <v>23.8</v>
      </c>
      <c r="G91" s="20" t="n">
        <v>0.1</v>
      </c>
      <c r="H91" s="20" t="n">
        <v>1.9</v>
      </c>
      <c r="I91" s="21" t="n">
        <f aca="false">D89/100</f>
        <v>0</v>
      </c>
      <c r="J91" s="22" t="s">
        <v>143</v>
      </c>
    </row>
    <row r="92" customFormat="false" ht="18" hidden="false" customHeight="true" outlineLevel="0" collapsed="false">
      <c r="B92" s="14" t="s">
        <v>144</v>
      </c>
      <c r="C92" s="36" t="s">
        <v>142</v>
      </c>
      <c r="D92" s="16" t="n">
        <v>99</v>
      </c>
      <c r="E92" s="16" t="n">
        <v>1.4</v>
      </c>
      <c r="F92" s="16" t="n">
        <v>25.6</v>
      </c>
      <c r="G92" s="16" t="n">
        <v>0.1</v>
      </c>
      <c r="H92" s="16" t="n">
        <v>2</v>
      </c>
      <c r="I92" s="17" t="n">
        <f aca="false">D90/100</f>
        <v>0</v>
      </c>
      <c r="J92" s="18" t="s">
        <v>51</v>
      </c>
    </row>
    <row r="93" customFormat="false" ht="18" hidden="false" customHeight="true" outlineLevel="0" collapsed="false">
      <c r="B93" s="19" t="s">
        <v>145</v>
      </c>
      <c r="C93" s="36" t="s">
        <v>142</v>
      </c>
      <c r="D93" s="20" t="n">
        <v>56</v>
      </c>
      <c r="E93" s="20" t="n">
        <v>0.3</v>
      </c>
      <c r="F93" s="20" t="n">
        <v>14.9</v>
      </c>
      <c r="G93" s="20" t="n">
        <v>0.1</v>
      </c>
      <c r="H93" s="20" t="n">
        <v>1.8</v>
      </c>
      <c r="I93" s="21" t="n">
        <f aca="false">D91/100</f>
        <v>0.92</v>
      </c>
      <c r="J93" s="22" t="s">
        <v>146</v>
      </c>
    </row>
    <row r="94" customFormat="false" ht="18" hidden="false" customHeight="true" outlineLevel="0" collapsed="false">
      <c r="B94" s="14" t="s">
        <v>147</v>
      </c>
      <c r="C94" s="36" t="s">
        <v>142</v>
      </c>
      <c r="D94" s="16" t="n">
        <v>46</v>
      </c>
      <c r="E94" s="16" t="n">
        <v>0.9</v>
      </c>
      <c r="F94" s="16" t="n">
        <v>11.5</v>
      </c>
      <c r="G94" s="16" t="n">
        <v>0.1</v>
      </c>
      <c r="H94" s="16" t="n">
        <v>2.2</v>
      </c>
      <c r="I94" s="17" t="n">
        <f aca="false">D92/100</f>
        <v>0.99</v>
      </c>
      <c r="J94" s="18" t="s">
        <v>148</v>
      </c>
    </row>
    <row r="95" customFormat="false" ht="18" hidden="false" customHeight="true" outlineLevel="0" collapsed="false">
      <c r="B95" s="19" t="s">
        <v>149</v>
      </c>
      <c r="C95" s="36" t="s">
        <v>142</v>
      </c>
      <c r="D95" s="20" t="n">
        <v>29</v>
      </c>
      <c r="E95" s="20" t="n">
        <v>0.7</v>
      </c>
      <c r="F95" s="20" t="n">
        <v>7.4</v>
      </c>
      <c r="G95" s="20" t="n">
        <v>0.1</v>
      </c>
      <c r="H95" s="20" t="n">
        <v>0.3</v>
      </c>
      <c r="I95" s="21" t="n">
        <f aca="false">D93/100</f>
        <v>0.56</v>
      </c>
      <c r="J95" s="22" t="s">
        <v>64</v>
      </c>
    </row>
    <row r="96" customFormat="false" ht="18" hidden="false" customHeight="true" outlineLevel="0" collapsed="false">
      <c r="B96" s="14" t="s">
        <v>150</v>
      </c>
      <c r="C96" s="36" t="s">
        <v>142</v>
      </c>
      <c r="D96" s="16" t="n">
        <v>33</v>
      </c>
      <c r="E96" s="16" t="n">
        <v>0.7</v>
      </c>
      <c r="F96" s="16" t="n">
        <v>8</v>
      </c>
      <c r="G96" s="16" t="n">
        <v>0.2</v>
      </c>
      <c r="H96" s="16" t="n">
        <v>0.3</v>
      </c>
      <c r="I96" s="17" t="n">
        <f aca="false">D94/100</f>
        <v>0.46</v>
      </c>
      <c r="J96" s="18" t="s">
        <v>115</v>
      </c>
    </row>
    <row r="97" customFormat="false" ht="18" hidden="false" customHeight="true" outlineLevel="0" collapsed="false">
      <c r="B97" s="19" t="s">
        <v>151</v>
      </c>
      <c r="C97" s="36" t="s">
        <v>142</v>
      </c>
      <c r="D97" s="20" t="n">
        <v>45</v>
      </c>
      <c r="E97" s="20" t="n">
        <v>0.5</v>
      </c>
      <c r="F97" s="20" t="n">
        <v>11.9</v>
      </c>
      <c r="G97" s="20" t="n">
        <v>0.1</v>
      </c>
      <c r="H97" s="20" t="n">
        <v>1.8</v>
      </c>
      <c r="I97" s="21" t="n">
        <f aca="false">D95/100</f>
        <v>0.29</v>
      </c>
      <c r="J97" s="22" t="s">
        <v>152</v>
      </c>
    </row>
    <row r="98" customFormat="false" ht="18" hidden="false" customHeight="true" outlineLevel="0" collapsed="false">
      <c r="B98" s="14" t="s">
        <v>153</v>
      </c>
      <c r="C98" s="36" t="s">
        <v>142</v>
      </c>
      <c r="D98" s="16" t="n">
        <v>64</v>
      </c>
      <c r="E98" s="16" t="n">
        <v>0.6</v>
      </c>
      <c r="F98" s="16" t="n">
        <v>16.9</v>
      </c>
      <c r="G98" s="16" t="n">
        <v>0.3</v>
      </c>
      <c r="H98" s="16" t="n">
        <v>1.4</v>
      </c>
      <c r="I98" s="17" t="n">
        <f aca="false">D96/100</f>
        <v>0.33</v>
      </c>
      <c r="J98" s="18" t="s">
        <v>117</v>
      </c>
    </row>
    <row r="99" customFormat="false" ht="18" hidden="false" customHeight="true" outlineLevel="0" collapsed="false">
      <c r="B99" s="19" t="s">
        <v>154</v>
      </c>
      <c r="C99" s="36" t="s">
        <v>142</v>
      </c>
      <c r="D99" s="20" t="n">
        <v>48</v>
      </c>
      <c r="E99" s="20" t="n">
        <v>0.9</v>
      </c>
      <c r="F99" s="20" t="n">
        <v>12.3</v>
      </c>
      <c r="G99" s="20" t="n">
        <v>0.1</v>
      </c>
      <c r="H99" s="20" t="n">
        <v>1</v>
      </c>
      <c r="I99" s="21" t="n">
        <f aca="false">D97/100</f>
        <v>0.45</v>
      </c>
      <c r="J99" s="22" t="s">
        <v>155</v>
      </c>
    </row>
    <row r="100" customFormat="false" ht="18" hidden="false" customHeight="true" outlineLevel="0" collapsed="false">
      <c r="B100" s="14" t="s">
        <v>156</v>
      </c>
      <c r="C100" s="36" t="s">
        <v>142</v>
      </c>
      <c r="D100" s="16" t="n">
        <v>30</v>
      </c>
      <c r="E100" s="16" t="n">
        <v>0.8</v>
      </c>
      <c r="F100" s="16" t="n">
        <v>7.1</v>
      </c>
      <c r="G100" s="16" t="n">
        <v>0.3</v>
      </c>
      <c r="H100" s="16" t="n">
        <v>2.1</v>
      </c>
      <c r="I100" s="17" t="n">
        <f aca="false">D98/100</f>
        <v>0.64</v>
      </c>
      <c r="J100" s="18" t="s">
        <v>122</v>
      </c>
    </row>
    <row r="101" customFormat="false" ht="18" hidden="false" customHeight="true" outlineLevel="0" collapsed="false">
      <c r="B101" s="19" t="s">
        <v>157</v>
      </c>
      <c r="C101" s="36" t="s">
        <v>142</v>
      </c>
      <c r="D101" s="20" t="n">
        <v>70</v>
      </c>
      <c r="E101" s="20" t="n">
        <v>0.9</v>
      </c>
      <c r="F101" s="20" t="n">
        <v>17.5</v>
      </c>
      <c r="G101" s="20" t="n">
        <v>0.4</v>
      </c>
      <c r="H101" s="20" t="n">
        <v>0.9</v>
      </c>
      <c r="I101" s="21" t="n">
        <f aca="false">D99/100</f>
        <v>0.48</v>
      </c>
      <c r="J101" s="22" t="s">
        <v>51</v>
      </c>
    </row>
    <row r="102" customFormat="false" ht="18" hidden="false" customHeight="true" outlineLevel="0" collapsed="false">
      <c r="B102" s="14" t="s">
        <v>158</v>
      </c>
      <c r="C102" s="36" t="s">
        <v>142</v>
      </c>
      <c r="D102" s="16" t="n">
        <v>61</v>
      </c>
      <c r="E102" s="16" t="n">
        <v>1.1</v>
      </c>
      <c r="F102" s="16" t="n">
        <v>14.7</v>
      </c>
      <c r="G102" s="16" t="n">
        <v>0.6</v>
      </c>
      <c r="H102" s="16" t="n">
        <v>3</v>
      </c>
      <c r="I102" s="17" t="n">
        <f aca="false">D100/100</f>
        <v>0.3</v>
      </c>
      <c r="J102" s="18" t="s">
        <v>159</v>
      </c>
    </row>
    <row r="103" customFormat="false" ht="18" hidden="false" customHeight="true" outlineLevel="0" collapsed="false">
      <c r="B103" s="19" t="s">
        <v>160</v>
      </c>
      <c r="C103" s="36" t="s">
        <v>142</v>
      </c>
      <c r="D103" s="20" t="n">
        <v>160</v>
      </c>
      <c r="E103" s="20" t="n">
        <v>1.2</v>
      </c>
      <c r="F103" s="20" t="n">
        <v>6</v>
      </c>
      <c r="G103" s="20" t="n">
        <v>14.7</v>
      </c>
      <c r="H103" s="20" t="n">
        <v>6.2</v>
      </c>
      <c r="I103" s="21" t="n">
        <f aca="false">D101/100</f>
        <v>0.7</v>
      </c>
      <c r="J103" s="22" t="s">
        <v>161</v>
      </c>
    </row>
    <row r="104" customFormat="false" ht="18" hidden="false" customHeight="true" outlineLevel="0" collapsed="false">
      <c r="B104" s="14" t="s">
        <v>162</v>
      </c>
      <c r="C104" s="36" t="s">
        <v>142</v>
      </c>
      <c r="D104" s="16" t="n">
        <v>354</v>
      </c>
      <c r="E104" s="16" t="n">
        <v>3.4</v>
      </c>
      <c r="F104" s="16" t="n">
        <v>6.2</v>
      </c>
      <c r="G104" s="16" t="n">
        <v>33.5</v>
      </c>
      <c r="H104" s="16" t="n">
        <v>9</v>
      </c>
      <c r="I104" s="17" t="n">
        <f aca="false">D102/100</f>
        <v>0.61</v>
      </c>
      <c r="J104" s="18" t="s">
        <v>163</v>
      </c>
    </row>
    <row r="105" customFormat="false" ht="24" hidden="false" customHeight="true" outlineLevel="0" collapsed="false">
      <c r="B105" s="19" t="s">
        <v>164</v>
      </c>
      <c r="C105" s="19" t="s">
        <v>142</v>
      </c>
      <c r="D105" s="19" t="n">
        <v>247</v>
      </c>
      <c r="E105" s="19" t="n">
        <v>1.5</v>
      </c>
      <c r="F105" s="19" t="n">
        <v>7.3</v>
      </c>
      <c r="G105" s="19" t="n">
        <v>23.3</v>
      </c>
      <c r="H105" s="19" t="n">
        <v>6.2</v>
      </c>
      <c r="I105" s="19" t="n">
        <f aca="false">D103/100</f>
        <v>1.6</v>
      </c>
      <c r="J105" s="19" t="s">
        <v>122</v>
      </c>
    </row>
    <row r="106" customFormat="false" ht="18" hidden="false" customHeight="true" outlineLevel="0" collapsed="false">
      <c r="B106" s="14" t="s">
        <v>165</v>
      </c>
      <c r="C106" s="36" t="s">
        <v>142</v>
      </c>
      <c r="D106" s="16" t="n">
        <v>52</v>
      </c>
      <c r="E106" s="16" t="n">
        <v>0.2</v>
      </c>
      <c r="F106" s="16" t="n">
        <v>13.8</v>
      </c>
      <c r="G106" s="16" t="n">
        <v>0.2</v>
      </c>
      <c r="H106" s="16" t="n">
        <v>1.2</v>
      </c>
      <c r="I106" s="17" t="n">
        <f aca="false">D104/100</f>
        <v>3.54</v>
      </c>
      <c r="J106" s="18" t="s">
        <v>166</v>
      </c>
    </row>
    <row r="107" customFormat="false" ht="18" hidden="false" customHeight="true" outlineLevel="0" collapsed="false"/>
    <row r="108" customFormat="false" ht="18" hidden="false" customHeight="true" outlineLevel="0" collapsed="false">
      <c r="B108" s="37" t="s">
        <v>167</v>
      </c>
      <c r="C108" s="27"/>
      <c r="D108" s="27"/>
      <c r="E108" s="27"/>
      <c r="F108" s="27"/>
      <c r="G108" s="27"/>
      <c r="H108" s="27"/>
      <c r="I108" s="27"/>
      <c r="J108" s="27"/>
    </row>
    <row r="109" customFormat="false" ht="18" hidden="false" customHeight="true" outlineLevel="0" collapsed="false">
      <c r="B109" s="14" t="s">
        <v>168</v>
      </c>
      <c r="C109" s="38" t="s">
        <v>169</v>
      </c>
      <c r="D109" s="16" t="n">
        <v>0</v>
      </c>
      <c r="E109" s="16" t="n">
        <v>0</v>
      </c>
      <c r="F109" s="16" t="n">
        <v>0</v>
      </c>
      <c r="G109" s="16" t="n">
        <v>0</v>
      </c>
      <c r="H109" s="16" t="n">
        <v>0</v>
      </c>
      <c r="I109" s="17" t="n">
        <f aca="false">D106/100</f>
        <v>0.52</v>
      </c>
      <c r="J109" s="18" t="s">
        <v>170</v>
      </c>
    </row>
    <row r="110" customFormat="false" ht="18" hidden="false" customHeight="true" outlineLevel="0" collapsed="false">
      <c r="B110" s="19" t="s">
        <v>171</v>
      </c>
      <c r="C110" s="38" t="s">
        <v>169</v>
      </c>
      <c r="D110" s="20" t="n">
        <v>22</v>
      </c>
      <c r="E110" s="20" t="n">
        <v>0.7</v>
      </c>
      <c r="F110" s="20" t="n">
        <v>5.3</v>
      </c>
      <c r="G110" s="20" t="n">
        <v>0.2</v>
      </c>
      <c r="H110" s="20" t="n">
        <v>0</v>
      </c>
      <c r="I110" s="21" t="n">
        <f aca="false">D107/100</f>
        <v>0</v>
      </c>
      <c r="J110" s="22" t="s">
        <v>172</v>
      </c>
    </row>
    <row r="111" customFormat="false" ht="18" hidden="false" customHeight="true" outlineLevel="0" collapsed="false">
      <c r="B111" s="14" t="s">
        <v>173</v>
      </c>
      <c r="C111" s="38" t="s">
        <v>169</v>
      </c>
      <c r="D111" s="16" t="n">
        <v>45</v>
      </c>
      <c r="E111" s="16" t="n">
        <v>0.7</v>
      </c>
      <c r="F111" s="16" t="n">
        <v>10.7</v>
      </c>
      <c r="G111" s="16" t="n">
        <v>0.2</v>
      </c>
      <c r="H111" s="16" t="n">
        <v>0.4</v>
      </c>
      <c r="I111" s="17" t="n">
        <f aca="false">D108/100</f>
        <v>0</v>
      </c>
      <c r="J111" s="18" t="s">
        <v>174</v>
      </c>
    </row>
    <row r="112" customFormat="false" ht="18" hidden="false" customHeight="true" outlineLevel="0" collapsed="false">
      <c r="B112" s="19" t="s">
        <v>175</v>
      </c>
      <c r="C112" s="38" t="s">
        <v>169</v>
      </c>
      <c r="D112" s="20" t="n">
        <v>29</v>
      </c>
      <c r="E112" s="20" t="n">
        <v>0.9</v>
      </c>
      <c r="F112" s="20" t="n">
        <v>7</v>
      </c>
      <c r="G112" s="20" t="n">
        <v>0.4</v>
      </c>
      <c r="H112" s="20" t="n">
        <v>0.3</v>
      </c>
      <c r="I112" s="21" t="n">
        <f aca="false">D109/100</f>
        <v>0</v>
      </c>
      <c r="J112" s="22" t="s">
        <v>148</v>
      </c>
    </row>
    <row r="113" customFormat="false" ht="18" hidden="false" customHeight="true" outlineLevel="0" collapsed="false">
      <c r="B113" s="14" t="s">
        <v>176</v>
      </c>
      <c r="C113" s="38" t="s">
        <v>169</v>
      </c>
      <c r="D113" s="16" t="n">
        <v>24</v>
      </c>
      <c r="E113" s="16" t="n">
        <v>0.6</v>
      </c>
      <c r="F113" s="16" t="n">
        <v>3.1</v>
      </c>
      <c r="G113" s="16" t="n">
        <v>1</v>
      </c>
      <c r="H113" s="16" t="n">
        <v>0.5</v>
      </c>
      <c r="I113" s="17" t="n">
        <f aca="false">D110/100</f>
        <v>0.22</v>
      </c>
      <c r="J113" s="18" t="s">
        <v>177</v>
      </c>
    </row>
    <row r="114" customFormat="false" ht="18" hidden="false" customHeight="true" outlineLevel="0" collapsed="false">
      <c r="B114" s="19" t="s">
        <v>178</v>
      </c>
      <c r="C114" s="38" t="s">
        <v>169</v>
      </c>
      <c r="D114" s="20" t="n">
        <v>48</v>
      </c>
      <c r="E114" s="20" t="n">
        <v>1.3</v>
      </c>
      <c r="F114" s="20" t="n">
        <v>9</v>
      </c>
      <c r="G114" s="20" t="n">
        <v>0.8</v>
      </c>
      <c r="H114" s="20" t="n">
        <v>1</v>
      </c>
      <c r="I114" s="21" t="n">
        <f aca="false">D111/100</f>
        <v>0.45</v>
      </c>
      <c r="J114" s="22" t="s">
        <v>179</v>
      </c>
    </row>
    <row r="115" customFormat="false" ht="18" hidden="false" customHeight="true" outlineLevel="0" collapsed="false">
      <c r="B115" s="14" t="s">
        <v>180</v>
      </c>
      <c r="C115" s="38" t="s">
        <v>169</v>
      </c>
      <c r="D115" s="16" t="n">
        <v>1</v>
      </c>
      <c r="E115" s="16" t="n">
        <v>0.2</v>
      </c>
      <c r="F115" s="16" t="n">
        <v>0.2</v>
      </c>
      <c r="G115" s="16" t="n">
        <v>0</v>
      </c>
      <c r="H115" s="16" t="n">
        <v>0</v>
      </c>
      <c r="I115" s="17" t="n">
        <f aca="false">D112/100</f>
        <v>0.29</v>
      </c>
      <c r="J115" s="18" t="s">
        <v>122</v>
      </c>
    </row>
    <row r="116" customFormat="false" ht="18" hidden="false" customHeight="true" outlineLevel="0" collapsed="false">
      <c r="B116" s="19" t="s">
        <v>181</v>
      </c>
      <c r="C116" s="38" t="s">
        <v>169</v>
      </c>
      <c r="D116" s="20" t="n">
        <v>1</v>
      </c>
      <c r="E116" s="20" t="n">
        <v>0</v>
      </c>
      <c r="F116" s="20" t="n">
        <v>0.1</v>
      </c>
      <c r="G116" s="20" t="n">
        <v>0</v>
      </c>
      <c r="H116" s="20" t="n">
        <v>0</v>
      </c>
      <c r="I116" s="21" t="n">
        <f aca="false">D113/100</f>
        <v>0.24</v>
      </c>
      <c r="J116" s="22" t="s">
        <v>182</v>
      </c>
    </row>
    <row r="117" customFormat="false" ht="18" hidden="false" customHeight="true" outlineLevel="0" collapsed="false">
      <c r="B117" s="14" t="s">
        <v>183</v>
      </c>
      <c r="C117" s="38" t="s">
        <v>169</v>
      </c>
      <c r="D117" s="16" t="n">
        <v>2</v>
      </c>
      <c r="E117" s="16" t="n">
        <v>0.3</v>
      </c>
      <c r="F117" s="16" t="n">
        <v>0</v>
      </c>
      <c r="G117" s="16" t="n">
        <v>0</v>
      </c>
      <c r="H117" s="16" t="n">
        <v>0</v>
      </c>
      <c r="I117" s="17" t="n">
        <f aca="false">D114/100</f>
        <v>0.48</v>
      </c>
      <c r="J117" s="18" t="s">
        <v>51</v>
      </c>
    </row>
    <row r="118" customFormat="false" ht="18" hidden="false" customHeight="true" outlineLevel="0" collapsed="false">
      <c r="B118" s="19" t="s">
        <v>184</v>
      </c>
      <c r="C118" s="38" t="s">
        <v>169</v>
      </c>
      <c r="D118" s="20" t="n">
        <v>15</v>
      </c>
      <c r="E118" s="20" t="n">
        <v>0</v>
      </c>
      <c r="F118" s="20" t="n">
        <v>3.5</v>
      </c>
      <c r="G118" s="20" t="n">
        <v>0</v>
      </c>
      <c r="H118" s="20" t="n">
        <v>0</v>
      </c>
      <c r="I118" s="21" t="n">
        <f aca="false">D115/100</f>
        <v>0.01</v>
      </c>
      <c r="J118" s="22" t="s">
        <v>185</v>
      </c>
    </row>
    <row r="119" customFormat="false" ht="18" hidden="false" customHeight="true" outlineLevel="0" collapsed="false">
      <c r="B119" s="14" t="s">
        <v>186</v>
      </c>
      <c r="C119" s="14" t="s">
        <v>169</v>
      </c>
      <c r="D119" s="14" t="n">
        <v>90</v>
      </c>
      <c r="E119" s="14" t="n">
        <v>3</v>
      </c>
      <c r="F119" s="14" t="n">
        <v>18</v>
      </c>
      <c r="G119" s="14" t="n">
        <v>1.5</v>
      </c>
      <c r="H119" s="14" t="n">
        <v>1</v>
      </c>
      <c r="I119" s="14" t="n">
        <f aca="false">D116/100</f>
        <v>0.01</v>
      </c>
      <c r="J119" s="14" t="s">
        <v>187</v>
      </c>
    </row>
    <row r="120" customFormat="false" ht="18" hidden="false" customHeight="true" outlineLevel="0" collapsed="false">
      <c r="B120" s="19" t="s">
        <v>188</v>
      </c>
      <c r="C120" s="38" t="s">
        <v>169</v>
      </c>
      <c r="D120" s="20" t="n">
        <v>22</v>
      </c>
      <c r="E120" s="20" t="n">
        <v>1.5</v>
      </c>
      <c r="F120" s="20" t="n">
        <v>4.2</v>
      </c>
      <c r="G120" s="20" t="n">
        <v>0.3</v>
      </c>
      <c r="H120" s="20" t="n">
        <v>2</v>
      </c>
      <c r="I120" s="21" t="n">
        <f aca="false">D117/100</f>
        <v>0.02</v>
      </c>
      <c r="J120" s="22" t="s">
        <v>187</v>
      </c>
    </row>
    <row r="121" customFormat="false" ht="18" hidden="false" customHeight="true" outlineLevel="0" collapsed="false">
      <c r="B121" s="14" t="s">
        <v>189</v>
      </c>
      <c r="C121" s="38" t="s">
        <v>169</v>
      </c>
      <c r="D121" s="16" t="n">
        <v>18</v>
      </c>
      <c r="E121" s="16" t="n">
        <v>1.4</v>
      </c>
      <c r="F121" s="16" t="n">
        <v>2.5</v>
      </c>
      <c r="G121" s="16" t="n">
        <v>0.1</v>
      </c>
      <c r="H121" s="16" t="n">
        <v>0</v>
      </c>
      <c r="I121" s="17" t="n">
        <f aca="false">D118/100</f>
        <v>0.15</v>
      </c>
      <c r="J121" s="18" t="s">
        <v>190</v>
      </c>
    </row>
    <row r="122" customFormat="false" ht="18" hidden="false" customHeight="true" outlineLevel="0" collapsed="false">
      <c r="B122" s="19" t="s">
        <v>191</v>
      </c>
      <c r="C122" s="38" t="s">
        <v>169</v>
      </c>
      <c r="D122" s="20" t="n">
        <v>33</v>
      </c>
      <c r="E122" s="20" t="n">
        <v>3</v>
      </c>
      <c r="F122" s="20" t="n">
        <v>2.7</v>
      </c>
      <c r="G122" s="20" t="n">
        <v>1.5</v>
      </c>
      <c r="H122" s="20" t="n">
        <v>0.3</v>
      </c>
      <c r="I122" s="21" t="n">
        <f aca="false">D119/100</f>
        <v>0.9</v>
      </c>
      <c r="J122" s="22" t="s">
        <v>192</v>
      </c>
    </row>
    <row r="123" customFormat="false" ht="18" hidden="false" customHeight="true" outlineLevel="0" collapsed="false"/>
    <row r="124" customFormat="false" ht="18" hidden="false" customHeight="true" outlineLevel="0" collapsed="false">
      <c r="B124" s="39" t="s">
        <v>193</v>
      </c>
      <c r="C124" s="27"/>
      <c r="D124" s="27"/>
      <c r="E124" s="27"/>
      <c r="F124" s="27"/>
      <c r="G124" s="27"/>
      <c r="H124" s="27"/>
      <c r="I124" s="27"/>
      <c r="J124" s="27"/>
    </row>
    <row r="125" customFormat="false" ht="18" hidden="false" customHeight="true" outlineLevel="0" collapsed="false">
      <c r="B125" s="14" t="s">
        <v>194</v>
      </c>
      <c r="C125" s="40" t="s">
        <v>195</v>
      </c>
      <c r="D125" s="16" t="n">
        <v>581</v>
      </c>
      <c r="E125" s="16" t="n">
        <v>26.2</v>
      </c>
      <c r="F125" s="16" t="n">
        <v>20.1</v>
      </c>
      <c r="G125" s="16" t="n">
        <v>47.4</v>
      </c>
      <c r="H125" s="16" t="n">
        <v>8</v>
      </c>
      <c r="I125" s="17" t="n">
        <f aca="false">D120/100</f>
        <v>0.22</v>
      </c>
      <c r="J125" s="18" t="s">
        <v>196</v>
      </c>
    </row>
    <row r="126" customFormat="false" ht="18" hidden="false" customHeight="true" outlineLevel="0" collapsed="false">
      <c r="B126" s="19" t="s">
        <v>197</v>
      </c>
      <c r="C126" s="40" t="s">
        <v>195</v>
      </c>
      <c r="D126" s="20" t="n">
        <v>656</v>
      </c>
      <c r="E126" s="20" t="n">
        <v>14.3</v>
      </c>
      <c r="F126" s="20" t="n">
        <v>15.1</v>
      </c>
      <c r="G126" s="20" t="n">
        <v>63.5</v>
      </c>
      <c r="H126" s="20" t="n">
        <v>7.9</v>
      </c>
      <c r="I126" s="21" t="n">
        <f aca="false">D121/100</f>
        <v>0.18</v>
      </c>
      <c r="J126" s="22" t="s">
        <v>198</v>
      </c>
    </row>
    <row r="127" customFormat="false" ht="18" hidden="false" customHeight="true" outlineLevel="0" collapsed="false">
      <c r="B127" s="14" t="s">
        <v>199</v>
      </c>
      <c r="C127" s="40" t="s">
        <v>195</v>
      </c>
      <c r="D127" s="16" t="n">
        <v>557</v>
      </c>
      <c r="E127" s="16" t="n">
        <v>14.5</v>
      </c>
      <c r="F127" s="16" t="n">
        <v>30.5</v>
      </c>
      <c r="G127" s="16" t="n">
        <v>42.7</v>
      </c>
      <c r="H127" s="16" t="n">
        <v>3</v>
      </c>
      <c r="I127" s="17" t="n">
        <f aca="false">D122/100</f>
        <v>0.33</v>
      </c>
      <c r="J127" s="18" t="s">
        <v>51</v>
      </c>
    </row>
    <row r="128" customFormat="false" ht="18" hidden="false" customHeight="true" outlineLevel="0" collapsed="false">
      <c r="B128" s="19" t="s">
        <v>200</v>
      </c>
      <c r="C128" s="40" t="s">
        <v>195</v>
      </c>
      <c r="D128" s="20" t="n">
        <v>620</v>
      </c>
      <c r="E128" s="20" t="n">
        <v>14.4</v>
      </c>
      <c r="F128" s="20" t="n">
        <v>18.3</v>
      </c>
      <c r="G128" s="20" t="n">
        <v>59.4</v>
      </c>
      <c r="H128" s="20" t="n">
        <v>6.7</v>
      </c>
      <c r="I128" s="21" t="n">
        <f aca="false">D123/100</f>
        <v>0</v>
      </c>
      <c r="J128" s="22" t="s">
        <v>201</v>
      </c>
    </row>
    <row r="129" customFormat="false" ht="18" hidden="false" customHeight="true" outlineLevel="0" collapsed="false">
      <c r="B129" s="14" t="s">
        <v>202</v>
      </c>
      <c r="C129" s="40" t="s">
        <v>195</v>
      </c>
      <c r="D129" s="16" t="n">
        <v>600</v>
      </c>
      <c r="E129" s="16" t="n">
        <v>18.7</v>
      </c>
      <c r="F129" s="16" t="n">
        <v>19.7</v>
      </c>
      <c r="G129" s="16" t="n">
        <v>52.5</v>
      </c>
      <c r="H129" s="16" t="n">
        <v>11.2</v>
      </c>
      <c r="I129" s="17" t="n">
        <f aca="false">D124/100</f>
        <v>0</v>
      </c>
      <c r="J129" s="18" t="s">
        <v>203</v>
      </c>
    </row>
    <row r="130" customFormat="false" ht="18" hidden="false" customHeight="true" outlineLevel="0" collapsed="false">
      <c r="B130" s="19" t="s">
        <v>204</v>
      </c>
      <c r="C130" s="40" t="s">
        <v>195</v>
      </c>
      <c r="D130" s="20" t="n">
        <v>490</v>
      </c>
      <c r="E130" s="20" t="n">
        <v>15.6</v>
      </c>
      <c r="F130" s="20" t="n">
        <v>42.1</v>
      </c>
      <c r="G130" s="20" t="n">
        <v>30.7</v>
      </c>
      <c r="H130" s="20" t="n">
        <v>34.4</v>
      </c>
      <c r="I130" s="21" t="n">
        <f aca="false">D125/100</f>
        <v>5.81</v>
      </c>
      <c r="J130" s="22" t="s">
        <v>205</v>
      </c>
    </row>
    <row r="131" customFormat="false" ht="18" hidden="false" customHeight="true" outlineLevel="0" collapsed="false">
      <c r="B131" s="14" t="s">
        <v>206</v>
      </c>
      <c r="C131" s="40" t="s">
        <v>195</v>
      </c>
      <c r="D131" s="16" t="n">
        <v>495</v>
      </c>
      <c r="E131" s="16" t="n">
        <v>18.3</v>
      </c>
      <c r="F131" s="16" t="n">
        <v>28.9</v>
      </c>
      <c r="G131" s="16" t="n">
        <v>35.1</v>
      </c>
      <c r="H131" s="16" t="n">
        <v>27.3</v>
      </c>
      <c r="I131" s="17" t="n">
        <f aca="false">D126/100</f>
        <v>6.56</v>
      </c>
      <c r="J131" s="18" t="s">
        <v>179</v>
      </c>
    </row>
    <row r="132" customFormat="false" ht="6" hidden="false" customHeight="true" outlineLevel="0" collapsed="false">
      <c r="B132" s="19" t="s">
        <v>207</v>
      </c>
      <c r="C132" s="40" t="s">
        <v>195</v>
      </c>
      <c r="D132" s="20" t="n">
        <v>582</v>
      </c>
      <c r="E132" s="20" t="n">
        <v>20.8</v>
      </c>
      <c r="F132" s="20" t="n">
        <v>20</v>
      </c>
      <c r="G132" s="20" t="n">
        <v>51.5</v>
      </c>
      <c r="H132" s="20" t="n">
        <v>8.6</v>
      </c>
      <c r="I132" s="21" t="n">
        <f aca="false">D127/100</f>
        <v>5.57</v>
      </c>
      <c r="J132" s="22" t="s">
        <v>179</v>
      </c>
    </row>
    <row r="133" customFormat="false" ht="24" hidden="false" customHeight="true" outlineLevel="0" collapsed="false">
      <c r="B133" s="14" t="s">
        <v>208</v>
      </c>
      <c r="C133" s="14" t="s">
        <v>195</v>
      </c>
      <c r="D133" s="14" t="n">
        <v>884</v>
      </c>
      <c r="E133" s="14" t="n">
        <v>0</v>
      </c>
      <c r="F133" s="14" t="n">
        <v>0</v>
      </c>
      <c r="G133" s="14" t="n">
        <v>100</v>
      </c>
      <c r="H133" s="14" t="n">
        <v>0</v>
      </c>
      <c r="I133" s="14" t="n">
        <f aca="false">D128/100</f>
        <v>6.2</v>
      </c>
      <c r="J133" s="14" t="s">
        <v>209</v>
      </c>
    </row>
    <row r="134" customFormat="false" ht="18" hidden="false" customHeight="true" outlineLevel="0" collapsed="false">
      <c r="B134" s="19" t="s">
        <v>210</v>
      </c>
      <c r="C134" s="40" t="s">
        <v>195</v>
      </c>
      <c r="D134" s="20" t="n">
        <v>862</v>
      </c>
      <c r="E134" s="20" t="n">
        <v>0</v>
      </c>
      <c r="F134" s="20" t="n">
        <v>0</v>
      </c>
      <c r="G134" s="20" t="n">
        <v>100</v>
      </c>
      <c r="H134" s="20" t="n">
        <v>0</v>
      </c>
      <c r="I134" s="21" t="n">
        <f aca="false">D129/100</f>
        <v>6</v>
      </c>
      <c r="J134" s="22" t="s">
        <v>211</v>
      </c>
    </row>
    <row r="135" customFormat="false" ht="18" hidden="false" customHeight="true" outlineLevel="0" collapsed="false">
      <c r="B135" s="14" t="s">
        <v>212</v>
      </c>
      <c r="C135" s="40" t="s">
        <v>195</v>
      </c>
      <c r="D135" s="16" t="n">
        <v>593</v>
      </c>
      <c r="E135" s="16" t="n">
        <v>28.3</v>
      </c>
      <c r="F135" s="16" t="n">
        <v>19.9</v>
      </c>
      <c r="G135" s="16" t="n">
        <v>49.2</v>
      </c>
      <c r="H135" s="16" t="n">
        <v>7.5</v>
      </c>
      <c r="I135" s="17" t="n">
        <f aca="false">D130/100</f>
        <v>4.9</v>
      </c>
      <c r="J135" s="18" t="s">
        <v>213</v>
      </c>
    </row>
    <row r="136" customFormat="false" ht="18" hidden="false" customHeight="true" outlineLevel="0" collapsed="false">
      <c r="B136" s="19" t="s">
        <v>214</v>
      </c>
      <c r="C136" s="40" t="s">
        <v>195</v>
      </c>
      <c r="D136" s="20" t="n">
        <v>582</v>
      </c>
      <c r="E136" s="20" t="n">
        <v>17</v>
      </c>
      <c r="F136" s="20" t="n">
        <v>26.2</v>
      </c>
      <c r="G136" s="20" t="n">
        <v>50.9</v>
      </c>
      <c r="H136" s="20" t="n">
        <v>9.3</v>
      </c>
      <c r="I136" s="21" t="n">
        <f aca="false">D131/100</f>
        <v>4.95</v>
      </c>
      <c r="J136" s="22" t="s">
        <v>179</v>
      </c>
    </row>
    <row r="137" customFormat="false" ht="18" hidden="false" customHeight="true" outlineLevel="0" collapsed="false"/>
    <row r="138" customFormat="false" ht="18" hidden="false" customHeight="true" outlineLevel="0" collapsed="false">
      <c r="B138" s="41" t="s">
        <v>215</v>
      </c>
      <c r="C138" s="27"/>
      <c r="D138" s="27"/>
      <c r="E138" s="27"/>
      <c r="F138" s="27"/>
      <c r="G138" s="27"/>
      <c r="H138" s="27"/>
      <c r="I138" s="27"/>
      <c r="J138" s="27"/>
    </row>
    <row r="139" customFormat="false" ht="18" hidden="false" customHeight="true" outlineLevel="0" collapsed="false">
      <c r="B139" s="14" t="s">
        <v>216</v>
      </c>
      <c r="C139" s="42" t="s">
        <v>217</v>
      </c>
      <c r="D139" s="16" t="n">
        <v>374</v>
      </c>
      <c r="E139" s="16" t="n">
        <v>80</v>
      </c>
      <c r="F139" s="16" t="n">
        <v>8</v>
      </c>
      <c r="G139" s="16" t="n">
        <v>4</v>
      </c>
      <c r="H139" s="16" t="n">
        <v>0</v>
      </c>
      <c r="I139" s="17" t="n">
        <f aca="false">D134/100</f>
        <v>8.62</v>
      </c>
      <c r="J139" s="18" t="s">
        <v>218</v>
      </c>
    </row>
    <row r="140" customFormat="false" ht="18" hidden="false" customHeight="true" outlineLevel="0" collapsed="false">
      <c r="B140" s="19" t="s">
        <v>219</v>
      </c>
      <c r="C140" s="42" t="s">
        <v>217</v>
      </c>
      <c r="D140" s="20" t="n">
        <v>350</v>
      </c>
      <c r="E140" s="20" t="n">
        <v>75</v>
      </c>
      <c r="F140" s="20" t="n">
        <v>12</v>
      </c>
      <c r="G140" s="20" t="n">
        <v>6</v>
      </c>
      <c r="H140" s="20" t="n">
        <v>5</v>
      </c>
      <c r="I140" s="21" t="n">
        <f aca="false">D135/100</f>
        <v>5.93</v>
      </c>
      <c r="J140" s="22" t="s">
        <v>220</v>
      </c>
    </row>
    <row r="141" customFormat="false" ht="18" hidden="false" customHeight="true" outlineLevel="0" collapsed="false">
      <c r="B141" s="14" t="s">
        <v>221</v>
      </c>
      <c r="C141" s="42" t="s">
        <v>217</v>
      </c>
      <c r="D141" s="16" t="n">
        <v>354</v>
      </c>
      <c r="E141" s="16" t="n">
        <v>90</v>
      </c>
      <c r="F141" s="16" t="n">
        <v>2</v>
      </c>
      <c r="G141" s="16" t="n">
        <v>1</v>
      </c>
      <c r="H141" s="16" t="n">
        <v>2</v>
      </c>
      <c r="I141" s="17" t="n">
        <f aca="false">D136/100</f>
        <v>5.82</v>
      </c>
      <c r="J141" s="18" t="s">
        <v>220</v>
      </c>
    </row>
    <row r="142" customFormat="false" ht="6" hidden="false" customHeight="true" outlineLevel="0" collapsed="false">
      <c r="B142" s="19" t="s">
        <v>222</v>
      </c>
      <c r="C142" s="42" t="s">
        <v>217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1" t="n">
        <f aca="false">D137/100</f>
        <v>0</v>
      </c>
      <c r="J142" s="22" t="s">
        <v>223</v>
      </c>
    </row>
    <row r="143" customFormat="false" ht="24" hidden="false" customHeight="true" outlineLevel="0" collapsed="false">
      <c r="B143" s="14" t="s">
        <v>224</v>
      </c>
      <c r="C143" s="14" t="s">
        <v>217</v>
      </c>
      <c r="D143" s="14" t="n">
        <v>380</v>
      </c>
      <c r="E143" s="14" t="n">
        <v>90</v>
      </c>
      <c r="F143" s="14" t="n">
        <v>1.5</v>
      </c>
      <c r="G143" s="14" t="n">
        <v>0.5</v>
      </c>
      <c r="H143" s="14" t="n">
        <v>0</v>
      </c>
      <c r="I143" s="14" t="n">
        <f aca="false">D138/100</f>
        <v>0</v>
      </c>
      <c r="J143" s="14" t="s">
        <v>220</v>
      </c>
    </row>
    <row r="144" customFormat="false" ht="18" hidden="false" customHeight="true" outlineLevel="0" collapsed="false">
      <c r="B144" s="19" t="s">
        <v>225</v>
      </c>
      <c r="C144" s="42" t="s">
        <v>217</v>
      </c>
      <c r="D144" s="20" t="n">
        <v>304</v>
      </c>
      <c r="E144" s="20" t="n">
        <v>0.3</v>
      </c>
      <c r="F144" s="20" t="n">
        <v>82.4</v>
      </c>
      <c r="G144" s="20" t="n">
        <v>0</v>
      </c>
      <c r="H144" s="20" t="n">
        <v>0.2</v>
      </c>
      <c r="I144" s="21" t="n">
        <f aca="false">D139/100</f>
        <v>3.74</v>
      </c>
      <c r="J144" s="22" t="s">
        <v>226</v>
      </c>
    </row>
    <row r="145" customFormat="false" ht="18" hidden="false" customHeight="true" outlineLevel="0" collapsed="false">
      <c r="B145" s="14" t="s">
        <v>227</v>
      </c>
      <c r="C145" s="42" t="s">
        <v>217</v>
      </c>
      <c r="D145" s="16" t="n">
        <v>350</v>
      </c>
      <c r="E145" s="16" t="n">
        <v>19.6</v>
      </c>
      <c r="F145" s="16" t="n">
        <v>57.9</v>
      </c>
      <c r="G145" s="16" t="n">
        <v>10.7</v>
      </c>
      <c r="H145" s="16" t="n">
        <v>33.2</v>
      </c>
      <c r="I145" s="17" t="n">
        <f aca="false">D140/100</f>
        <v>3.5</v>
      </c>
      <c r="J145" s="18" t="s">
        <v>122</v>
      </c>
    </row>
    <row r="146" customFormat="false" ht="18" hidden="false" customHeight="true" outlineLevel="0" collapsed="false">
      <c r="B146" s="19" t="s">
        <v>228</v>
      </c>
      <c r="C146" s="42" t="s">
        <v>217</v>
      </c>
      <c r="D146" s="20" t="n">
        <v>360</v>
      </c>
      <c r="E146" s="20" t="n">
        <v>45</v>
      </c>
      <c r="F146" s="20" t="n">
        <v>30</v>
      </c>
      <c r="G146" s="20" t="n">
        <v>8</v>
      </c>
      <c r="H146" s="20" t="n">
        <v>8</v>
      </c>
      <c r="I146" s="21" t="n">
        <f aca="false">D141/100</f>
        <v>3.54</v>
      </c>
      <c r="J146" s="22" t="s">
        <v>220</v>
      </c>
    </row>
    <row r="147" customFormat="false" ht="18" hidden="false" customHeight="true" outlineLevel="0" collapsed="false"/>
    <row r="148" customFormat="false" ht="18" hidden="false" customHeight="true" outlineLevel="0" collapsed="false">
      <c r="B148" s="43" t="s">
        <v>229</v>
      </c>
      <c r="C148" s="27"/>
      <c r="D148" s="27"/>
      <c r="E148" s="27"/>
      <c r="F148" s="27"/>
      <c r="G148" s="27"/>
      <c r="H148" s="27"/>
      <c r="I148" s="27"/>
      <c r="J148" s="27"/>
    </row>
    <row r="149" customFormat="false" ht="18" hidden="false" customHeight="true" outlineLevel="0" collapsed="false">
      <c r="B149" s="14" t="s">
        <v>230</v>
      </c>
      <c r="C149" s="44" t="s">
        <v>231</v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7" t="n">
        <f aca="false">D144/100</f>
        <v>3.04</v>
      </c>
      <c r="J149" s="18" t="s">
        <v>232</v>
      </c>
    </row>
    <row r="150" customFormat="false" ht="18" hidden="false" customHeight="true" outlineLevel="0" collapsed="false">
      <c r="B150" s="19" t="s">
        <v>233</v>
      </c>
      <c r="C150" s="44" t="s">
        <v>231</v>
      </c>
      <c r="D150" s="20" t="n">
        <v>884</v>
      </c>
      <c r="E150" s="20" t="n">
        <v>0</v>
      </c>
      <c r="F150" s="20" t="n">
        <v>0</v>
      </c>
      <c r="G150" s="20" t="n">
        <v>100</v>
      </c>
      <c r="H150" s="20" t="n">
        <v>0</v>
      </c>
      <c r="I150" s="21" t="n">
        <f aca="false">D145/100</f>
        <v>3.5</v>
      </c>
      <c r="J150" s="22" t="s">
        <v>234</v>
      </c>
    </row>
    <row r="151" customFormat="false" ht="18" hidden="false" customHeight="true" outlineLevel="0" collapsed="false">
      <c r="B151" s="14" t="s">
        <v>235</v>
      </c>
      <c r="C151" s="44" t="s">
        <v>231</v>
      </c>
      <c r="D151" s="16" t="n">
        <v>4</v>
      </c>
      <c r="E151" s="16" t="n">
        <v>0</v>
      </c>
      <c r="F151" s="16" t="n">
        <v>0.9</v>
      </c>
      <c r="G151" s="16" t="n">
        <v>0</v>
      </c>
      <c r="H151" s="16" t="n">
        <v>0</v>
      </c>
      <c r="I151" s="17" t="n">
        <f aca="false">D146/100</f>
        <v>3.6</v>
      </c>
      <c r="J151" s="18" t="s">
        <v>51</v>
      </c>
    </row>
    <row r="152" customFormat="false" ht="18" hidden="false" customHeight="true" outlineLevel="0" collapsed="false">
      <c r="B152" s="19" t="s">
        <v>236</v>
      </c>
      <c r="C152" s="44" t="s">
        <v>231</v>
      </c>
      <c r="D152" s="20" t="n">
        <v>29</v>
      </c>
      <c r="E152" s="20" t="n">
        <v>0.9</v>
      </c>
      <c r="F152" s="20" t="n">
        <v>7</v>
      </c>
      <c r="G152" s="20" t="n">
        <v>0.4</v>
      </c>
      <c r="H152" s="20" t="n">
        <v>0.3</v>
      </c>
      <c r="I152" s="21" t="n">
        <f aca="false">D147/100</f>
        <v>0</v>
      </c>
      <c r="J152" s="22" t="s">
        <v>148</v>
      </c>
    </row>
    <row r="153" customFormat="false" ht="18" hidden="false" customHeight="true" outlineLevel="0" collapsed="false">
      <c r="B153" s="14" t="s">
        <v>237</v>
      </c>
      <c r="C153" s="44" t="s">
        <v>231</v>
      </c>
      <c r="D153" s="16" t="n">
        <v>60</v>
      </c>
      <c r="E153" s="16" t="n">
        <v>4</v>
      </c>
      <c r="F153" s="16" t="n">
        <v>5.8</v>
      </c>
      <c r="G153" s="16" t="n">
        <v>3</v>
      </c>
      <c r="H153" s="16" t="n">
        <v>3.8</v>
      </c>
      <c r="I153" s="17" t="n">
        <f aca="false">D148/100</f>
        <v>0</v>
      </c>
      <c r="J153" s="18" t="s">
        <v>51</v>
      </c>
    </row>
    <row r="154" customFormat="false" ht="15" hidden="false" customHeight="false" outlineLevel="0" collapsed="false">
      <c r="B154" s="19" t="s">
        <v>238</v>
      </c>
      <c r="C154" s="44" t="s">
        <v>231</v>
      </c>
      <c r="D154" s="20" t="n">
        <v>64</v>
      </c>
      <c r="E154" s="20" t="n">
        <v>5.7</v>
      </c>
      <c r="F154" s="20" t="n">
        <v>9.1</v>
      </c>
      <c r="G154" s="20" t="n">
        <v>0</v>
      </c>
      <c r="H154" s="20" t="n">
        <v>0.6</v>
      </c>
      <c r="I154" s="21" t="n">
        <f aca="false">D149/100</f>
        <v>0</v>
      </c>
      <c r="J154" s="22" t="s">
        <v>239</v>
      </c>
    </row>
    <row r="155" customFormat="false" ht="15" hidden="false" customHeight="false" outlineLevel="0" collapsed="false">
      <c r="B155" s="14" t="s">
        <v>240</v>
      </c>
      <c r="C155" s="44" t="s">
        <v>231</v>
      </c>
      <c r="D155" s="16" t="n">
        <v>582</v>
      </c>
      <c r="E155" s="16" t="n">
        <v>17</v>
      </c>
      <c r="F155" s="16" t="n">
        <v>26.2</v>
      </c>
      <c r="G155" s="16" t="n">
        <v>50.9</v>
      </c>
      <c r="H155" s="16" t="n">
        <v>9.3</v>
      </c>
      <c r="I155" s="17" t="n">
        <f aca="false">D150/100</f>
        <v>8.84</v>
      </c>
      <c r="J155" s="18" t="s">
        <v>179</v>
      </c>
    </row>
    <row r="156" customFormat="false" ht="15" hidden="false" customHeight="false" outlineLevel="0" collapsed="false">
      <c r="B156" s="19" t="s">
        <v>241</v>
      </c>
      <c r="C156" s="44" t="s">
        <v>231</v>
      </c>
      <c r="D156" s="20" t="n">
        <v>63</v>
      </c>
      <c r="E156" s="20" t="n">
        <v>1.6</v>
      </c>
      <c r="F156" s="20" t="n">
        <v>12.5</v>
      </c>
      <c r="G156" s="20" t="n">
        <v>0.6</v>
      </c>
      <c r="H156" s="20" t="n">
        <v>2</v>
      </c>
      <c r="I156" s="21" t="n">
        <f aca="false">D151/100</f>
        <v>0.04</v>
      </c>
      <c r="J156" s="22" t="s">
        <v>242</v>
      </c>
    </row>
    <row r="157" customFormat="false" ht="15" hidden="false" customHeight="false" outlineLevel="0" collapsed="false">
      <c r="B157" s="14" t="s">
        <v>243</v>
      </c>
      <c r="C157" s="44" t="s">
        <v>231</v>
      </c>
      <c r="D157" s="16" t="n">
        <v>312</v>
      </c>
      <c r="E157" s="16" t="n">
        <v>9.7</v>
      </c>
      <c r="F157" s="16" t="n">
        <v>67.8</v>
      </c>
      <c r="G157" s="16" t="n">
        <v>3.3</v>
      </c>
      <c r="H157" s="16" t="n">
        <v>21.1</v>
      </c>
      <c r="I157" s="17" t="n">
        <f aca="false">D152/100</f>
        <v>0.29</v>
      </c>
      <c r="J157" s="18" t="s">
        <v>244</v>
      </c>
    </row>
    <row r="158" customFormat="false" ht="15" hidden="false" customHeight="false" outlineLevel="0" collapsed="false">
      <c r="B158" s="19" t="s">
        <v>245</v>
      </c>
      <c r="C158" s="44" t="s">
        <v>231</v>
      </c>
      <c r="D158" s="20" t="n">
        <v>261</v>
      </c>
      <c r="E158" s="20" t="n">
        <v>3.9</v>
      </c>
      <c r="F158" s="20" t="n">
        <v>79.8</v>
      </c>
      <c r="G158" s="20" t="n">
        <v>1.2</v>
      </c>
      <c r="H158" s="20" t="n">
        <v>53.1</v>
      </c>
      <c r="I158" s="21" t="n">
        <f aca="false">D153/100</f>
        <v>0.6</v>
      </c>
      <c r="J158" s="22" t="s">
        <v>246</v>
      </c>
    </row>
  </sheetData>
  <mergeCells count="14">
    <mergeCell ref="B2:J2"/>
    <mergeCell ref="B3:J3"/>
    <mergeCell ref="B5:C5"/>
    <mergeCell ref="B7:J7"/>
    <mergeCell ref="B23:J23"/>
    <mergeCell ref="B37:J37"/>
    <mergeCell ref="B47:J47"/>
    <mergeCell ref="B57:J57"/>
    <mergeCell ref="B74:J74"/>
    <mergeCell ref="B88:J88"/>
    <mergeCell ref="B105:J105"/>
    <mergeCell ref="B119:J119"/>
    <mergeCell ref="B133:J133"/>
    <mergeCell ref="B143:J1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9" min="5" style="1" width="12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2"/>
  </cols>
  <sheetData>
    <row r="1" customFormat="false" ht="6" hidden="false" customHeight="true" outlineLevel="0" collapsed="false"/>
    <row r="2" customFormat="false" ht="31.5" hidden="false" customHeight="true" outlineLevel="0" collapsed="false">
      <c r="B2" s="45" t="s">
        <v>247</v>
      </c>
      <c r="C2" s="45"/>
      <c r="D2" s="45"/>
      <c r="E2" s="45"/>
      <c r="F2" s="45"/>
      <c r="G2" s="45"/>
      <c r="H2" s="45"/>
      <c r="I2" s="45"/>
      <c r="J2" s="45"/>
      <c r="K2" s="45"/>
    </row>
    <row r="3" customFormat="false" ht="18" hidden="false" customHeight="true" outlineLevel="0" collapsed="false">
      <c r="B3" s="46" t="s">
        <v>248</v>
      </c>
      <c r="C3" s="46"/>
      <c r="D3" s="46"/>
      <c r="E3" s="46"/>
      <c r="F3" s="46"/>
      <c r="G3" s="46"/>
      <c r="H3" s="46"/>
      <c r="I3" s="46"/>
      <c r="J3" s="46"/>
      <c r="K3" s="46"/>
    </row>
    <row r="4" customFormat="false" ht="24" hidden="false" customHeight="true" outlineLevel="0" collapsed="false">
      <c r="B4" s="33" t="s">
        <v>249</v>
      </c>
      <c r="C4" s="33"/>
      <c r="D4" s="33"/>
      <c r="E4" s="47" t="s">
        <v>250</v>
      </c>
      <c r="F4" s="48" t="n">
        <v>2000</v>
      </c>
      <c r="G4" s="47" t="s">
        <v>251</v>
      </c>
      <c r="H4" s="49" t="n">
        <v>70</v>
      </c>
      <c r="I4" s="47" t="s">
        <v>252</v>
      </c>
      <c r="J4" s="50" t="s">
        <v>253</v>
      </c>
    </row>
    <row r="5" customFormat="false" ht="24" hidden="false" customHeight="true" outlineLevel="0" collapsed="false">
      <c r="B5" s="51" t="s">
        <v>254</v>
      </c>
      <c r="C5" s="51"/>
      <c r="D5" s="51"/>
      <c r="E5" s="52" t="s">
        <v>255</v>
      </c>
      <c r="F5" s="53" t="n">
        <v>1.8</v>
      </c>
      <c r="G5" s="54" t="s">
        <v>256</v>
      </c>
      <c r="H5" s="55" t="n">
        <f aca="false">H4*F5</f>
        <v>126</v>
      </c>
      <c r="I5" s="54" t="s">
        <v>257</v>
      </c>
      <c r="J5" s="56" t="n">
        <f aca="false">F4*0.5/4</f>
        <v>250</v>
      </c>
    </row>
    <row r="6" customFormat="false" ht="7.5" hidden="false" customHeight="true" outlineLevel="0" collapsed="false"/>
    <row r="7" customFormat="false" ht="37.5" hidden="false" customHeight="true" outlineLevel="0" collapsed="false">
      <c r="B7" s="57" t="s">
        <v>258</v>
      </c>
      <c r="C7" s="57" t="s">
        <v>3</v>
      </c>
      <c r="D7" s="57" t="s">
        <v>259</v>
      </c>
      <c r="E7" s="7" t="s">
        <v>260</v>
      </c>
      <c r="F7" s="6" t="s">
        <v>261</v>
      </c>
      <c r="G7" s="7" t="s">
        <v>262</v>
      </c>
      <c r="H7" s="8" t="s">
        <v>263</v>
      </c>
      <c r="I7" s="9" t="s">
        <v>264</v>
      </c>
      <c r="J7" s="10" t="s">
        <v>265</v>
      </c>
      <c r="K7" s="11" t="s">
        <v>266</v>
      </c>
      <c r="L7" s="57" t="s">
        <v>267</v>
      </c>
    </row>
    <row r="8" customFormat="false" ht="24" hidden="false" customHeight="true" outlineLevel="0" collapsed="false">
      <c r="B8" s="58" t="s">
        <v>268</v>
      </c>
      <c r="C8" s="58"/>
      <c r="D8" s="58"/>
      <c r="E8" s="58"/>
      <c r="F8" s="58"/>
      <c r="G8" s="58"/>
      <c r="H8" s="58"/>
      <c r="I8" s="58"/>
      <c r="J8" s="58"/>
      <c r="K8" s="58"/>
    </row>
    <row r="9" customFormat="false" ht="19.5" hidden="false" customHeight="true" outlineLevel="0" collapsed="false">
      <c r="B9" s="59" t="n">
        <v>1</v>
      </c>
      <c r="C9" s="60" t="s">
        <v>183</v>
      </c>
      <c r="D9" s="61" t="s">
        <v>269</v>
      </c>
      <c r="E9" s="62" t="n">
        <v>200</v>
      </c>
      <c r="F9" s="63" t="n">
        <f aca="false">IFERROR(VLOOKUP(C9,'📋 Tabela de Alimentos'!$B$7:$J$300,3,0)*E9/100,0)</f>
        <v>4</v>
      </c>
      <c r="G9" s="63" t="n">
        <f aca="false">IFERROR(VLOOKUP(C9,'📋 Tabela de Alimentos'!$B$7:$J$300,4,0)*E9/100,0)</f>
        <v>0.6</v>
      </c>
      <c r="H9" s="63" t="n">
        <f aca="false">IFERROR(VLOOKUP(C9,'📋 Tabela de Alimentos'!$B$7:$J$300,5,0)*E9/100,0)</f>
        <v>0</v>
      </c>
      <c r="I9" s="63" t="n">
        <f aca="false">IFERROR(VLOOKUP(C9,'📋 Tabela de Alimentos'!$B$7:$J$300,6,0)*E9/100,0)</f>
        <v>0</v>
      </c>
      <c r="J9" s="63" t="n">
        <f aca="false">IFERROR(VLOOKUP(C9,'📋 Tabela de Alimentos'!$B$7:$J$300,7,0)*E9/100,0)</f>
        <v>0</v>
      </c>
      <c r="K9" s="64" t="n">
        <f aca="false">IFERROR(F9/$F$4,0)</f>
        <v>0.002</v>
      </c>
      <c r="L9" s="65" t="s">
        <v>270</v>
      </c>
    </row>
    <row r="10" customFormat="false" ht="19.5" hidden="false" customHeight="true" outlineLevel="0" collapsed="false">
      <c r="B10" s="66" t="n">
        <v>2</v>
      </c>
      <c r="C10" s="60" t="s">
        <v>22</v>
      </c>
      <c r="D10" s="61" t="s">
        <v>269</v>
      </c>
      <c r="E10" s="62" t="n">
        <v>50</v>
      </c>
      <c r="F10" s="20" t="n">
        <f aca="false">IFERROR(VLOOKUP(C10,'📋 Tabela de Alimentos'!$B$7:$J$300,3,0)*E10/100,0)</f>
        <v>150</v>
      </c>
      <c r="G10" s="20" t="n">
        <f aca="false">IFERROR(VLOOKUP(C10,'📋 Tabela de Alimentos'!$B$7:$J$300,4,0)*E10/100,0)</f>
        <v>4</v>
      </c>
      <c r="H10" s="20" t="n">
        <f aca="false">IFERROR(VLOOKUP(C10,'📋 Tabela de Alimentos'!$B$7:$J$300,5,0)*E10/100,0)</f>
        <v>29.3</v>
      </c>
      <c r="I10" s="20" t="n">
        <f aca="false">IFERROR(VLOOKUP(C10,'📋 Tabela de Alimentos'!$B$7:$J$300,6,0)*E10/100,0)</f>
        <v>1.55</v>
      </c>
      <c r="J10" s="20" t="n">
        <f aca="false">IFERROR(VLOOKUP(C10,'📋 Tabela de Alimentos'!$B$7:$J$300,7,0)*E10/100,0)</f>
        <v>1.15</v>
      </c>
      <c r="K10" s="67" t="n">
        <f aca="false">IFERROR(F10/$F$4,0)</f>
        <v>0.075</v>
      </c>
      <c r="L10" s="22" t="s">
        <v>271</v>
      </c>
    </row>
    <row r="11" customFormat="false" ht="19.5" hidden="false" customHeight="true" outlineLevel="0" collapsed="false">
      <c r="B11" s="59" t="n">
        <v>3</v>
      </c>
      <c r="C11" s="60" t="s">
        <v>97</v>
      </c>
      <c r="D11" s="61" t="s">
        <v>269</v>
      </c>
      <c r="E11" s="62" t="n">
        <v>15</v>
      </c>
      <c r="F11" s="63" t="n">
        <f aca="false">IFERROR(VLOOKUP(C11,'📋 Tabela de Alimentos'!$B$7:$J$300,3,0)*E11/100,0)</f>
        <v>22.8</v>
      </c>
      <c r="G11" s="63" t="n">
        <f aca="false">IFERROR(VLOOKUP(C11,'📋 Tabela de Alimentos'!$B$7:$J$300,4,0)*E11/100,0)</f>
        <v>1.125</v>
      </c>
      <c r="H11" s="63" t="n">
        <f aca="false">IFERROR(VLOOKUP(C11,'📋 Tabela de Alimentos'!$B$7:$J$300,5,0)*E11/100,0)</f>
        <v>0.48</v>
      </c>
      <c r="I11" s="63" t="n">
        <f aca="false">IFERROR(VLOOKUP(C11,'📋 Tabela de Alimentos'!$B$7:$J$300,6,0)*E11/100,0)</f>
        <v>1.8</v>
      </c>
      <c r="J11" s="63" t="n">
        <f aca="false">IFERROR(VLOOKUP(C11,'📋 Tabela de Alimentos'!$B$7:$J$300,7,0)*E11/100,0)</f>
        <v>0</v>
      </c>
      <c r="K11" s="64" t="n">
        <f aca="false">IFERROR(F11/$F$4,0)</f>
        <v>0.0114</v>
      </c>
      <c r="L11" s="65" t="s">
        <v>272</v>
      </c>
    </row>
    <row r="12" customFormat="false" ht="19.5" hidden="false" customHeight="true" outlineLevel="0" collapsed="false">
      <c r="B12" s="66" t="n">
        <v>4</v>
      </c>
      <c r="C12" s="60" t="s">
        <v>93</v>
      </c>
      <c r="D12" s="61" t="s">
        <v>269</v>
      </c>
      <c r="E12" s="62" t="n">
        <v>20</v>
      </c>
      <c r="F12" s="20" t="n">
        <f aca="false">IFERROR(VLOOKUP(C12,'📋 Tabela de Alimentos'!$B$7:$J$300,3,0)*E12/100,0)</f>
        <v>57.8</v>
      </c>
      <c r="G12" s="20" t="n">
        <f aca="false">IFERROR(VLOOKUP(C12,'📋 Tabela de Alimentos'!$B$7:$J$300,4,0)*E12/100,0)</f>
        <v>3.6</v>
      </c>
      <c r="H12" s="20" t="n">
        <f aca="false">IFERROR(VLOOKUP(C12,'📋 Tabela de Alimentos'!$B$7:$J$300,5,0)*E12/100,0)</f>
        <v>0.52</v>
      </c>
      <c r="I12" s="20" t="n">
        <f aca="false">IFERROR(VLOOKUP(C12,'📋 Tabela de Alimentos'!$B$7:$J$300,6,0)*E12/100,0)</f>
        <v>4.58</v>
      </c>
      <c r="J12" s="20" t="n">
        <f aca="false">IFERROR(VLOOKUP(C12,'📋 Tabela de Alimentos'!$B$7:$J$300,7,0)*E12/100,0)</f>
        <v>0</v>
      </c>
      <c r="K12" s="67" t="n">
        <f aca="false">IFERROR(F12/$F$4,0)</f>
        <v>0.0289</v>
      </c>
      <c r="L12" s="22" t="s">
        <v>273</v>
      </c>
    </row>
    <row r="13" customFormat="false" ht="19.5" hidden="false" customHeight="true" outlineLevel="0" collapsed="false">
      <c r="B13" s="59" t="n">
        <v>5</v>
      </c>
      <c r="C13" s="60" t="s">
        <v>66</v>
      </c>
      <c r="D13" s="61" t="s">
        <v>269</v>
      </c>
      <c r="E13" s="62" t="n">
        <v>15</v>
      </c>
      <c r="F13" s="63" t="n">
        <f aca="false">IFERROR(VLOOKUP(C13,'📋 Tabela de Alimentos'!$B$7:$J$300,3,0)*E13/100,0)</f>
        <v>16.35</v>
      </c>
      <c r="G13" s="63" t="n">
        <f aca="false">IFERROR(VLOOKUP(C13,'📋 Tabela de Alimentos'!$B$7:$J$300,4,0)*E13/100,0)</f>
        <v>2.61</v>
      </c>
      <c r="H13" s="63" t="n">
        <f aca="false">IFERROR(VLOOKUP(C13,'📋 Tabela de Alimentos'!$B$7:$J$300,5,0)*E13/100,0)</f>
        <v>0.285</v>
      </c>
      <c r="I13" s="63" t="n">
        <f aca="false">IFERROR(VLOOKUP(C13,'📋 Tabela de Alimentos'!$B$7:$J$300,6,0)*E13/100,0)</f>
        <v>0.54</v>
      </c>
      <c r="J13" s="63" t="n">
        <f aca="false">IFERROR(VLOOKUP(C13,'📋 Tabela de Alimentos'!$B$7:$J$300,7,0)*E13/100,0)</f>
        <v>0</v>
      </c>
      <c r="K13" s="64" t="n">
        <f aca="false">IFERROR(F13/$F$4,0)</f>
        <v>0.008175</v>
      </c>
      <c r="L13" s="65" t="s">
        <v>274</v>
      </c>
    </row>
    <row r="14" customFormat="false" ht="19.5" hidden="false" customHeight="true" outlineLevel="0" collapsed="false">
      <c r="B14" s="66" t="n">
        <v>6</v>
      </c>
      <c r="C14" s="66" t="s">
        <v>61</v>
      </c>
      <c r="D14" s="66" t="s">
        <v>269</v>
      </c>
      <c r="E14" s="66" t="n">
        <v>100</v>
      </c>
      <c r="F14" s="66" t="n">
        <f aca="false">IFERROR(VLOOKUP(C14,'📋 Tabela de Alimentos'!$B$7:$J$300,3,0)*E14/100,0)</f>
        <v>146</v>
      </c>
      <c r="G14" s="66" t="n">
        <f aca="false">IFERROR(VLOOKUP(C14,'📋 Tabela de Alimentos'!$B$7:$J$300,4,0)*E14/100,0)</f>
        <v>13.3</v>
      </c>
      <c r="H14" s="66" t="n">
        <f aca="false">IFERROR(VLOOKUP(C14,'📋 Tabela de Alimentos'!$B$7:$J$300,5,0)*E14/100,0)</f>
        <v>0.6</v>
      </c>
      <c r="I14" s="66" t="n">
        <f aca="false">IFERROR(VLOOKUP(C14,'📋 Tabela de Alimentos'!$B$7:$J$300,6,0)*E14/100,0)</f>
        <v>10</v>
      </c>
      <c r="J14" s="66" t="n">
        <f aca="false">IFERROR(VLOOKUP(C14,'📋 Tabela de Alimentos'!$B$7:$J$300,7,0)*E14/100,0)</f>
        <v>0</v>
      </c>
      <c r="K14" s="66" t="n">
        <f aca="false">IFERROR(F14/$F$4,0)</f>
        <v>0.073</v>
      </c>
      <c r="L14" s="22" t="s">
        <v>275</v>
      </c>
    </row>
    <row r="15" customFormat="false" ht="19.5" hidden="false" customHeight="true" outlineLevel="0" collapsed="false">
      <c r="B15" s="59" t="n">
        <v>7</v>
      </c>
      <c r="C15" s="60" t="s">
        <v>145</v>
      </c>
      <c r="D15" s="61" t="s">
        <v>269</v>
      </c>
      <c r="E15" s="62" t="n">
        <v>120</v>
      </c>
      <c r="F15" s="63" t="n">
        <f aca="false">IFERROR(VLOOKUP(C15,'📋 Tabela de Alimentos'!$B$7:$J$300,3,0)*E15/100,0)</f>
        <v>67.2</v>
      </c>
      <c r="G15" s="63" t="n">
        <f aca="false">IFERROR(VLOOKUP(C15,'📋 Tabela de Alimentos'!$B$7:$J$300,4,0)*E15/100,0)</f>
        <v>0.36</v>
      </c>
      <c r="H15" s="63" t="n">
        <f aca="false">IFERROR(VLOOKUP(C15,'📋 Tabela de Alimentos'!$B$7:$J$300,5,0)*E15/100,0)</f>
        <v>17.88</v>
      </c>
      <c r="I15" s="63" t="n">
        <f aca="false">IFERROR(VLOOKUP(C15,'📋 Tabela de Alimentos'!$B$7:$J$300,6,0)*E15/100,0)</f>
        <v>0.12</v>
      </c>
      <c r="J15" s="63" t="n">
        <f aca="false">IFERROR(VLOOKUP(C15,'📋 Tabela de Alimentos'!$B$7:$J$300,7,0)*E15/100,0)</f>
        <v>2.16</v>
      </c>
      <c r="K15" s="64" t="n">
        <f aca="false">IFERROR(F15/$F$4,0)</f>
        <v>0.0336</v>
      </c>
      <c r="L15" s="65" t="s">
        <v>276</v>
      </c>
    </row>
    <row r="16" customFormat="false" ht="19.5" hidden="false" customHeight="true" outlineLevel="0" collapsed="false">
      <c r="B16" s="66" t="n">
        <v>8</v>
      </c>
      <c r="C16" s="60" t="s">
        <v>222</v>
      </c>
      <c r="D16" s="61" t="s">
        <v>269</v>
      </c>
      <c r="E16" s="62" t="n">
        <v>6</v>
      </c>
      <c r="F16" s="20" t="n">
        <f aca="false">IFERROR(VLOOKUP(C16,'📋 Tabela de Alimentos'!$B$7:$J$300,3,0)*E16/100,0)</f>
        <v>0</v>
      </c>
      <c r="G16" s="20" t="n">
        <f aca="false">IFERROR(VLOOKUP(C16,'📋 Tabela de Alimentos'!$B$7:$J$300,4,0)*E16/100,0)</f>
        <v>0</v>
      </c>
      <c r="H16" s="20" t="n">
        <f aca="false">IFERROR(VLOOKUP(C16,'📋 Tabela de Alimentos'!$B$7:$J$300,5,0)*E16/100,0)</f>
        <v>0</v>
      </c>
      <c r="I16" s="20" t="n">
        <f aca="false">IFERROR(VLOOKUP(C16,'📋 Tabela de Alimentos'!$B$7:$J$300,6,0)*E16/100,0)</f>
        <v>0</v>
      </c>
      <c r="J16" s="20" t="n">
        <f aca="false">IFERROR(VLOOKUP(C16,'📋 Tabela de Alimentos'!$B$7:$J$300,7,0)*E16/100,0)</f>
        <v>0</v>
      </c>
      <c r="K16" s="67" t="n">
        <f aca="false">IFERROR(F16/$F$4,0)</f>
        <v>0</v>
      </c>
      <c r="L16" s="22" t="s">
        <v>277</v>
      </c>
    </row>
    <row r="17" customFormat="false" ht="24" hidden="false" customHeight="true" outlineLevel="0" collapsed="false">
      <c r="B17" s="68" t="s">
        <v>278</v>
      </c>
      <c r="C17" s="68"/>
      <c r="D17" s="68"/>
      <c r="E17" s="68"/>
      <c r="F17" s="68"/>
      <c r="G17" s="68"/>
      <c r="H17" s="68"/>
      <c r="I17" s="68"/>
      <c r="J17" s="68"/>
      <c r="K17" s="68"/>
    </row>
    <row r="18" customFormat="false" ht="19.5" hidden="false" customHeight="true" outlineLevel="0" collapsed="false">
      <c r="B18" s="66" t="n">
        <v>9</v>
      </c>
      <c r="C18" s="69" t="s">
        <v>145</v>
      </c>
      <c r="D18" s="70" t="s">
        <v>279</v>
      </c>
      <c r="E18" s="62" t="n">
        <v>130</v>
      </c>
      <c r="F18" s="20" t="n">
        <f aca="false">IFERROR(VLOOKUP(C15,'📋 Tabela de Alimentos'!$B$7:$J$203,3,0)*E15/100,0)</f>
        <v>67.2</v>
      </c>
      <c r="G18" s="20" t="n">
        <f aca="false">IFERROR(VLOOKUP(C15,'📋 Tabela de Alimentos'!$B$7:$J$203,4,0)*E15/100,0)</f>
        <v>0.36</v>
      </c>
      <c r="H18" s="20" t="n">
        <f aca="false">IFERROR(VLOOKUP(C15,'📋 Tabela de Alimentos'!$B$7:$J$203,5,0)*E15/100,0)</f>
        <v>17.88</v>
      </c>
      <c r="I18" s="20" t="n">
        <f aca="false">IFERROR(VLOOKUP(C15,'📋 Tabela de Alimentos'!$B$7:$J$203,6,0)*E15/100,0)</f>
        <v>0.12</v>
      </c>
      <c r="J18" s="20" t="n">
        <f aca="false">IFERROR(VLOOKUP(C15,'📋 Tabela de Alimentos'!$B$7:$J$203,7,0)*E15/100,0)</f>
        <v>2.16</v>
      </c>
      <c r="K18" s="67" t="n">
        <f aca="false">IFERROR(F15/$F$4,0)</f>
        <v>0.0336</v>
      </c>
    </row>
    <row r="19" customFormat="false" ht="19.5" hidden="false" customHeight="true" outlineLevel="0" collapsed="false">
      <c r="B19" s="71" t="n">
        <v>10</v>
      </c>
      <c r="C19" s="69" t="s">
        <v>212</v>
      </c>
      <c r="D19" s="70" t="s">
        <v>279</v>
      </c>
      <c r="E19" s="62" t="n">
        <v>20</v>
      </c>
      <c r="F19" s="72" t="n">
        <f aca="false">IFERROR(VLOOKUP(C16,'📋 Tabela de Alimentos'!$B$7:$J$203,3,0)*E16/100,0)</f>
        <v>0</v>
      </c>
      <c r="G19" s="72" t="n">
        <f aca="false">IFERROR(VLOOKUP(C16,'📋 Tabela de Alimentos'!$B$7:$J$203,4,0)*E16/100,0)</f>
        <v>0</v>
      </c>
      <c r="H19" s="72" t="n">
        <f aca="false">IFERROR(VLOOKUP(C16,'📋 Tabela de Alimentos'!$B$7:$J$203,5,0)*E16/100,0)</f>
        <v>0</v>
      </c>
      <c r="I19" s="72" t="n">
        <f aca="false">IFERROR(VLOOKUP(C16,'📋 Tabela de Alimentos'!$B$7:$J$203,6,0)*E16/100,0)</f>
        <v>0</v>
      </c>
      <c r="J19" s="72" t="n">
        <f aca="false">IFERROR(VLOOKUP(C16,'📋 Tabela de Alimentos'!$B$7:$J$203,7,0)*E16/100,0)</f>
        <v>0</v>
      </c>
      <c r="K19" s="73" t="n">
        <f aca="false">IFERROR(F16/$F$4,0)</f>
        <v>0</v>
      </c>
    </row>
    <row r="20" customFormat="false" ht="19.5" hidden="false" customHeight="true" outlineLevel="0" collapsed="false">
      <c r="B20" s="74" t="s">
        <v>280</v>
      </c>
      <c r="C20" s="27"/>
      <c r="D20" s="27"/>
      <c r="E20" s="27"/>
      <c r="F20" s="27"/>
      <c r="G20" s="27"/>
      <c r="H20" s="27"/>
      <c r="I20" s="27"/>
      <c r="J20" s="27"/>
      <c r="K20" s="27"/>
    </row>
    <row r="21" customFormat="false" ht="19.5" hidden="false" customHeight="true" outlineLevel="0" collapsed="false">
      <c r="B21" s="75" t="n">
        <v>11</v>
      </c>
      <c r="C21" s="69" t="s">
        <v>16</v>
      </c>
      <c r="D21" s="76" t="s">
        <v>281</v>
      </c>
      <c r="E21" s="62" t="n">
        <v>120</v>
      </c>
      <c r="F21" s="77" t="n">
        <f aca="false">IFERROR(VLOOKUP(C18,'📋 Tabela de Alimentos'!$B$7:$J$203,3,0)*E18/100,0)</f>
        <v>72.8</v>
      </c>
      <c r="G21" s="77" t="n">
        <f aca="false">IFERROR(VLOOKUP(C18,'📋 Tabela de Alimentos'!$B$7:$J$203,4,0)*E18/100,0)</f>
        <v>0.39</v>
      </c>
      <c r="H21" s="77" t="n">
        <f aca="false">IFERROR(VLOOKUP(C18,'📋 Tabela de Alimentos'!$B$7:$J$203,5,0)*E18/100,0)</f>
        <v>19.37</v>
      </c>
      <c r="I21" s="77" t="n">
        <f aca="false">IFERROR(VLOOKUP(C18,'📋 Tabela de Alimentos'!$B$7:$J$203,6,0)*E18/100,0)</f>
        <v>0.13</v>
      </c>
      <c r="J21" s="77" t="n">
        <f aca="false">IFERROR(VLOOKUP(C18,'📋 Tabela de Alimentos'!$B$7:$J$203,7,0)*E18/100,0)</f>
        <v>2.34</v>
      </c>
      <c r="K21" s="78" t="n">
        <f aca="false">IFERROR(F18/$F$4,0)</f>
        <v>0.0336</v>
      </c>
    </row>
    <row r="22" customFormat="false" ht="19.5" hidden="false" customHeight="true" outlineLevel="0" collapsed="false">
      <c r="B22" s="66" t="n">
        <v>12</v>
      </c>
      <c r="C22" s="69" t="s">
        <v>72</v>
      </c>
      <c r="D22" s="76" t="s">
        <v>281</v>
      </c>
      <c r="E22" s="62" t="n">
        <v>80</v>
      </c>
      <c r="F22" s="20" t="n">
        <f aca="false">IFERROR(VLOOKUP(C19,'📋 Tabela de Alimentos'!$B$7:$J$203,3,0)*E19/100,0)</f>
        <v>118.6</v>
      </c>
      <c r="G22" s="20" t="n">
        <f aca="false">IFERROR(VLOOKUP(C19,'📋 Tabela de Alimentos'!$B$7:$J$203,4,0)*E19/100,0)</f>
        <v>5.66</v>
      </c>
      <c r="H22" s="20" t="n">
        <f aca="false">IFERROR(VLOOKUP(C19,'📋 Tabela de Alimentos'!$B$7:$J$203,5,0)*E19/100,0)</f>
        <v>3.98</v>
      </c>
      <c r="I22" s="20" t="n">
        <f aca="false">IFERROR(VLOOKUP(C19,'📋 Tabela de Alimentos'!$B$7:$J$203,6,0)*E19/100,0)</f>
        <v>9.84</v>
      </c>
      <c r="J22" s="20" t="n">
        <f aca="false">IFERROR(VLOOKUP(C19,'📋 Tabela de Alimentos'!$B$7:$J$203,7,0)*E19/100,0)</f>
        <v>1.5</v>
      </c>
      <c r="K22" s="67" t="n">
        <f aca="false">IFERROR(F19/$F$4,0)</f>
        <v>0</v>
      </c>
    </row>
    <row r="23" customFormat="false" ht="19.5" hidden="false" customHeight="true" outlineLevel="0" collapsed="false">
      <c r="B23" s="75" t="n">
        <v>13</v>
      </c>
      <c r="C23" s="69" t="s">
        <v>43</v>
      </c>
      <c r="D23" s="76" t="s">
        <v>281</v>
      </c>
      <c r="E23" s="62" t="n">
        <v>120</v>
      </c>
      <c r="F23" s="77" t="n">
        <f aca="false">IFERROR(VLOOKUP(C20,'📋 Tabela de Alimentos'!$B$7:$J$203,3,0)*E20/100,0)</f>
        <v>0</v>
      </c>
      <c r="G23" s="77" t="n">
        <f aca="false">IFERROR(VLOOKUP(C20,'📋 Tabela de Alimentos'!$B$7:$J$203,4,0)*E20/100,0)</f>
        <v>0</v>
      </c>
      <c r="H23" s="77" t="n">
        <f aca="false">IFERROR(VLOOKUP(C20,'📋 Tabela de Alimentos'!$B$7:$J$203,5,0)*E20/100,0)</f>
        <v>0</v>
      </c>
      <c r="I23" s="77" t="n">
        <f aca="false">IFERROR(VLOOKUP(C20,'📋 Tabela de Alimentos'!$B$7:$J$203,6,0)*E20/100,0)</f>
        <v>0</v>
      </c>
      <c r="J23" s="77" t="n">
        <f aca="false">IFERROR(VLOOKUP(C20,'📋 Tabela de Alimentos'!$B$7:$J$203,7,0)*E20/100,0)</f>
        <v>0</v>
      </c>
      <c r="K23" s="78" t="n">
        <f aca="false">IFERROR(F20/$F$4,0)</f>
        <v>0</v>
      </c>
    </row>
    <row r="24" customFormat="false" ht="19.5" hidden="false" customHeight="true" outlineLevel="0" collapsed="false">
      <c r="B24" s="66" t="n">
        <v>14</v>
      </c>
      <c r="C24" s="69" t="s">
        <v>124</v>
      </c>
      <c r="D24" s="76" t="s">
        <v>281</v>
      </c>
      <c r="E24" s="62" t="n">
        <v>80</v>
      </c>
      <c r="F24" s="20" t="n">
        <f aca="false">IFERROR(VLOOKUP(C21,'📋 Tabela de Alimentos'!$B$7:$J$203,3,0)*E21/100,0)</f>
        <v>148.8</v>
      </c>
      <c r="G24" s="20" t="n">
        <f aca="false">IFERROR(VLOOKUP(C21,'📋 Tabela de Alimentos'!$B$7:$J$203,4,0)*E21/100,0)</f>
        <v>3.12</v>
      </c>
      <c r="H24" s="20" t="n">
        <f aca="false">IFERROR(VLOOKUP(C21,'📋 Tabela de Alimentos'!$B$7:$J$203,5,0)*E21/100,0)</f>
        <v>30.96</v>
      </c>
      <c r="I24" s="20" t="n">
        <f aca="false">IFERROR(VLOOKUP(C21,'📋 Tabela de Alimentos'!$B$7:$J$203,6,0)*E21/100,0)</f>
        <v>1.2</v>
      </c>
      <c r="J24" s="20" t="n">
        <f aca="false">IFERROR(VLOOKUP(C21,'📋 Tabela de Alimentos'!$B$7:$J$203,7,0)*E21/100,0)</f>
        <v>3.24</v>
      </c>
      <c r="K24" s="67" t="n">
        <f aca="false">IFERROR(F21/$F$4,0)</f>
        <v>0.0364</v>
      </c>
    </row>
    <row r="25" customFormat="false" ht="24" hidden="false" customHeight="true" outlineLevel="0" collapsed="false">
      <c r="B25" s="75" t="n">
        <v>15</v>
      </c>
      <c r="C25" s="75" t="s">
        <v>116</v>
      </c>
      <c r="D25" s="75" t="s">
        <v>281</v>
      </c>
      <c r="E25" s="75" t="n">
        <v>30</v>
      </c>
      <c r="F25" s="75" t="n">
        <f aca="false">IFERROR(VLOOKUP(C22,'📋 Tabela de Alimentos'!$B$7:$J$203,3,0)*E22/100,0)</f>
        <v>60.8</v>
      </c>
      <c r="G25" s="75" t="n">
        <f aca="false">IFERROR(VLOOKUP(C22,'📋 Tabela de Alimentos'!$B$7:$J$203,4,0)*E22/100,0)</f>
        <v>3.84</v>
      </c>
      <c r="H25" s="75" t="n">
        <f aca="false">IFERROR(VLOOKUP(C22,'📋 Tabela de Alimentos'!$B$7:$J$203,5,0)*E22/100,0)</f>
        <v>10.4</v>
      </c>
      <c r="I25" s="75" t="n">
        <f aca="false">IFERROR(VLOOKUP(C22,'📋 Tabela de Alimentos'!$B$7:$J$203,6,0)*E22/100,0)</f>
        <v>0.4</v>
      </c>
      <c r="J25" s="75" t="n">
        <f aca="false">IFERROR(VLOOKUP(C22,'📋 Tabela de Alimentos'!$B$7:$J$203,7,0)*E22/100,0)</f>
        <v>6.8</v>
      </c>
      <c r="K25" s="75" t="n">
        <f aca="false">IFERROR(F22/$F$4,0)</f>
        <v>0.0593</v>
      </c>
    </row>
    <row r="26" customFormat="false" ht="19.5" hidden="false" customHeight="true" outlineLevel="0" collapsed="false">
      <c r="B26" s="66" t="n">
        <v>16</v>
      </c>
      <c r="C26" s="69" t="s">
        <v>208</v>
      </c>
      <c r="D26" s="76" t="s">
        <v>281</v>
      </c>
      <c r="E26" s="62" t="n">
        <v>8</v>
      </c>
      <c r="F26" s="20" t="n">
        <f aca="false">IFERROR(VLOOKUP(C23,'📋 Tabela de Alimentos'!$B$7:$J$203,3,0)*E23/100,0)</f>
        <v>195.6</v>
      </c>
      <c r="G26" s="20" t="n">
        <f aca="false">IFERROR(VLOOKUP(C23,'📋 Tabela de Alimentos'!$B$7:$J$203,4,0)*E23/100,0)</f>
        <v>37.8</v>
      </c>
      <c r="H26" s="20" t="n">
        <f aca="false">IFERROR(VLOOKUP(C23,'📋 Tabela de Alimentos'!$B$7:$J$203,5,0)*E23/100,0)</f>
        <v>0</v>
      </c>
      <c r="I26" s="20" t="n">
        <f aca="false">IFERROR(VLOOKUP(C23,'📋 Tabela de Alimentos'!$B$7:$J$203,6,0)*E23/100,0)</f>
        <v>4.44</v>
      </c>
      <c r="J26" s="20" t="n">
        <f aca="false">IFERROR(VLOOKUP(C23,'📋 Tabela de Alimentos'!$B$7:$J$203,7,0)*E23/100,0)</f>
        <v>0</v>
      </c>
      <c r="K26" s="67" t="n">
        <f aca="false">IFERROR(F23/$F$4,0)</f>
        <v>0</v>
      </c>
    </row>
    <row r="27" customFormat="false" ht="19.5" hidden="false" customHeight="true" outlineLevel="0" collapsed="false">
      <c r="B27" s="75" t="n">
        <v>17</v>
      </c>
      <c r="C27" s="69" t="s">
        <v>147</v>
      </c>
      <c r="D27" s="76" t="s">
        <v>281</v>
      </c>
      <c r="E27" s="62" t="n">
        <v>130</v>
      </c>
      <c r="F27" s="77" t="n">
        <f aca="false">IFERROR(VLOOKUP(C24,'📋 Tabela de Alimentos'!$B$7:$J$203,3,0)*E24/100,0)</f>
        <v>17.6</v>
      </c>
      <c r="G27" s="77" t="n">
        <f aca="false">IFERROR(VLOOKUP(C24,'📋 Tabela de Alimentos'!$B$7:$J$203,4,0)*E24/100,0)</f>
        <v>2.08</v>
      </c>
      <c r="H27" s="77" t="n">
        <f aca="false">IFERROR(VLOOKUP(C24,'📋 Tabela de Alimentos'!$B$7:$J$203,5,0)*E24/100,0)</f>
        <v>2.8</v>
      </c>
      <c r="I27" s="77" t="n">
        <f aca="false">IFERROR(VLOOKUP(C24,'📋 Tabela de Alimentos'!$B$7:$J$203,6,0)*E24/100,0)</f>
        <v>0.24</v>
      </c>
      <c r="J27" s="77" t="n">
        <f aca="false">IFERROR(VLOOKUP(C24,'📋 Tabela de Alimentos'!$B$7:$J$203,7,0)*E24/100,0)</f>
        <v>2.4</v>
      </c>
      <c r="K27" s="78" t="n">
        <f aca="false">IFERROR(F24/$F$4,0)</f>
        <v>0.0744</v>
      </c>
    </row>
    <row r="28" customFormat="false" ht="19.5" hidden="false" customHeight="true" outlineLevel="0" collapsed="false">
      <c r="B28" s="79" t="s">
        <v>282</v>
      </c>
      <c r="C28" s="27"/>
      <c r="D28" s="27"/>
      <c r="E28" s="27"/>
      <c r="F28" s="27"/>
      <c r="G28" s="27"/>
      <c r="H28" s="27"/>
      <c r="I28" s="27"/>
      <c r="J28" s="27"/>
      <c r="K28" s="27"/>
    </row>
    <row r="29" customFormat="false" ht="19.5" hidden="false" customHeight="true" outlineLevel="0" collapsed="false">
      <c r="B29" s="80" t="n">
        <v>18</v>
      </c>
      <c r="C29" s="69" t="s">
        <v>24</v>
      </c>
      <c r="D29" s="81" t="s">
        <v>283</v>
      </c>
      <c r="E29" s="62" t="n">
        <v>50</v>
      </c>
      <c r="F29" s="82" t="n">
        <f aca="false">IFERROR(VLOOKUP(C26,'📋 Tabela de Alimentos'!$B$7:$J$203,3,0)*E26/100,0)</f>
        <v>70.72</v>
      </c>
      <c r="G29" s="82" t="n">
        <f aca="false">IFERROR(VLOOKUP(C26,'📋 Tabela de Alimentos'!$B$7:$J$203,4,0)*E26/100,0)</f>
        <v>0</v>
      </c>
      <c r="H29" s="82" t="n">
        <f aca="false">IFERROR(VLOOKUP(C26,'📋 Tabela de Alimentos'!$B$7:$J$203,5,0)*E26/100,0)</f>
        <v>0</v>
      </c>
      <c r="I29" s="82" t="n">
        <f aca="false">IFERROR(VLOOKUP(C26,'📋 Tabela de Alimentos'!$B$7:$J$203,6,0)*E26/100,0)</f>
        <v>8</v>
      </c>
      <c r="J29" s="82" t="n">
        <f aca="false">IFERROR(VLOOKUP(C26,'📋 Tabela de Alimentos'!$B$7:$J$203,7,0)*E26/100,0)</f>
        <v>0</v>
      </c>
      <c r="K29" s="83" t="n">
        <f aca="false">IFERROR(F26/$F$4,0)</f>
        <v>0.0978</v>
      </c>
    </row>
    <row r="30" customFormat="false" ht="24" hidden="false" customHeight="true" outlineLevel="0" collapsed="false">
      <c r="B30" s="66" t="n">
        <v>19</v>
      </c>
      <c r="C30" s="66" t="s">
        <v>92</v>
      </c>
      <c r="D30" s="66" t="s">
        <v>283</v>
      </c>
      <c r="E30" s="66" t="n">
        <v>50</v>
      </c>
      <c r="F30" s="66" t="n">
        <f aca="false">IFERROR(VLOOKUP(C27,'📋 Tabela de Alimentos'!$B$7:$J$203,3,0)*E27/100,0)</f>
        <v>59.8</v>
      </c>
      <c r="G30" s="66" t="n">
        <f aca="false">IFERROR(VLOOKUP(C27,'📋 Tabela de Alimentos'!$B$7:$J$203,4,0)*E27/100,0)</f>
        <v>1.17</v>
      </c>
      <c r="H30" s="66" t="n">
        <f aca="false">IFERROR(VLOOKUP(C27,'📋 Tabela de Alimentos'!$B$7:$J$203,5,0)*E27/100,0)</f>
        <v>14.95</v>
      </c>
      <c r="I30" s="66" t="n">
        <f aca="false">IFERROR(VLOOKUP(C27,'📋 Tabela de Alimentos'!$B$7:$J$203,6,0)*E27/100,0)</f>
        <v>0.13</v>
      </c>
      <c r="J30" s="66" t="n">
        <f aca="false">IFERROR(VLOOKUP(C27,'📋 Tabela de Alimentos'!$B$7:$J$203,7,0)*E27/100,0)</f>
        <v>2.86</v>
      </c>
      <c r="K30" s="66" t="n">
        <f aca="false">IFERROR(F27/$F$4,0)</f>
        <v>0.0088</v>
      </c>
    </row>
    <row r="31" customFormat="false" ht="19.5" hidden="false" customHeight="true" outlineLevel="0" collapsed="false">
      <c r="B31" s="80" t="n">
        <v>20</v>
      </c>
      <c r="C31" s="69" t="s">
        <v>156</v>
      </c>
      <c r="D31" s="81" t="s">
        <v>283</v>
      </c>
      <c r="E31" s="62" t="n">
        <v>80</v>
      </c>
      <c r="F31" s="82" t="n">
        <f aca="false">IFERROR(VLOOKUP(C28,'📋 Tabela de Alimentos'!$B$7:$J$203,3,0)*E28/100,0)</f>
        <v>0</v>
      </c>
      <c r="G31" s="82" t="n">
        <f aca="false">IFERROR(VLOOKUP(C28,'📋 Tabela de Alimentos'!$B$7:$J$203,4,0)*E28/100,0)</f>
        <v>0</v>
      </c>
      <c r="H31" s="82" t="n">
        <f aca="false">IFERROR(VLOOKUP(C28,'📋 Tabela de Alimentos'!$B$7:$J$203,5,0)*E28/100,0)</f>
        <v>0</v>
      </c>
      <c r="I31" s="82" t="n">
        <f aca="false">IFERROR(VLOOKUP(C28,'📋 Tabela de Alimentos'!$B$7:$J$203,6,0)*E28/100,0)</f>
        <v>0</v>
      </c>
      <c r="J31" s="82" t="n">
        <f aca="false">IFERROR(VLOOKUP(C28,'📋 Tabela de Alimentos'!$B$7:$J$203,7,0)*E28/100,0)</f>
        <v>0</v>
      </c>
      <c r="K31" s="83" t="n">
        <f aca="false">IFERROR(F28/$F$4,0)</f>
        <v>0</v>
      </c>
    </row>
    <row r="32" customFormat="false" ht="19.5" hidden="false" customHeight="true" outlineLevel="0" collapsed="false">
      <c r="B32" s="66" t="n">
        <v>21</v>
      </c>
      <c r="C32" s="69" t="s">
        <v>180</v>
      </c>
      <c r="D32" s="81" t="s">
        <v>283</v>
      </c>
      <c r="E32" s="62" t="n">
        <v>200</v>
      </c>
      <c r="F32" s="20" t="n">
        <f aca="false">IFERROR(VLOOKUP(C29,'📋 Tabela de Alimentos'!$B$7:$J$203,3,0)*E29/100,0)</f>
        <v>126.5</v>
      </c>
      <c r="G32" s="20" t="n">
        <f aca="false">IFERROR(VLOOKUP(C29,'📋 Tabela de Alimentos'!$B$7:$J$203,4,0)*E29/100,0)</f>
        <v>4.4</v>
      </c>
      <c r="H32" s="20" t="n">
        <f aca="false">IFERROR(VLOOKUP(C29,'📋 Tabela de Alimentos'!$B$7:$J$203,5,0)*E29/100,0)</f>
        <v>23.35</v>
      </c>
      <c r="I32" s="20" t="n">
        <f aca="false">IFERROR(VLOOKUP(C29,'📋 Tabela de Alimentos'!$B$7:$J$203,6,0)*E29/100,0)</f>
        <v>1.75</v>
      </c>
      <c r="J32" s="20" t="n">
        <f aca="false">IFERROR(VLOOKUP(C29,'📋 Tabela de Alimentos'!$B$7:$J$203,7,0)*E29/100,0)</f>
        <v>2.85</v>
      </c>
      <c r="K32" s="67" t="n">
        <f aca="false">IFERROR(F29/$F$4,0)</f>
        <v>0.03536</v>
      </c>
    </row>
    <row r="33" customFormat="false" ht="19.5" hidden="false" customHeight="true" outlineLevel="0" collapsed="false">
      <c r="B33" s="84" t="s">
        <v>284</v>
      </c>
      <c r="C33" s="27"/>
      <c r="D33" s="27"/>
      <c r="E33" s="27"/>
      <c r="F33" s="27"/>
      <c r="G33" s="27"/>
      <c r="H33" s="27"/>
      <c r="I33" s="27"/>
      <c r="J33" s="27"/>
      <c r="K33" s="27"/>
    </row>
    <row r="34" customFormat="false" ht="19.5" hidden="false" customHeight="true" outlineLevel="0" collapsed="false">
      <c r="B34" s="66" t="n">
        <v>22</v>
      </c>
      <c r="C34" s="69" t="s">
        <v>52</v>
      </c>
      <c r="D34" s="85" t="s">
        <v>285</v>
      </c>
      <c r="E34" s="62" t="n">
        <v>130</v>
      </c>
      <c r="F34" s="20" t="n">
        <f aca="false">IFERROR(VLOOKUP(C31,'📋 Tabela de Alimentos'!$B$7:$J$203,3,0)*E31/100,0)</f>
        <v>24</v>
      </c>
      <c r="G34" s="20" t="n">
        <f aca="false">IFERROR(VLOOKUP(C31,'📋 Tabela de Alimentos'!$B$7:$J$203,4,0)*E31/100,0)</f>
        <v>0.64</v>
      </c>
      <c r="H34" s="20" t="n">
        <f aca="false">IFERROR(VLOOKUP(C31,'📋 Tabela de Alimentos'!$B$7:$J$203,5,0)*E31/100,0)</f>
        <v>5.68</v>
      </c>
      <c r="I34" s="20" t="n">
        <f aca="false">IFERROR(VLOOKUP(C31,'📋 Tabela de Alimentos'!$B$7:$J$203,6,0)*E31/100,0)</f>
        <v>0.24</v>
      </c>
      <c r="J34" s="20" t="n">
        <f aca="false">IFERROR(VLOOKUP(C31,'📋 Tabela de Alimentos'!$B$7:$J$203,7,0)*E31/100,0)</f>
        <v>1.68</v>
      </c>
      <c r="K34" s="67" t="n">
        <f aca="false">IFERROR(F31/$F$4,0)</f>
        <v>0</v>
      </c>
    </row>
    <row r="35" customFormat="false" ht="19.5" hidden="false" customHeight="true" outlineLevel="0" collapsed="false">
      <c r="B35" s="86" t="n">
        <v>23</v>
      </c>
      <c r="C35" s="69" t="s">
        <v>30</v>
      </c>
      <c r="D35" s="85" t="s">
        <v>285</v>
      </c>
      <c r="E35" s="62" t="n">
        <v>100</v>
      </c>
      <c r="F35" s="87" t="n">
        <f aca="false">IFERROR(VLOOKUP(C32,'📋 Tabela de Alimentos'!$B$7:$J$203,3,0)*E32/100,0)</f>
        <v>2</v>
      </c>
      <c r="G35" s="87" t="n">
        <f aca="false">IFERROR(VLOOKUP(C32,'📋 Tabela de Alimentos'!$B$7:$J$203,4,0)*E32/100,0)</f>
        <v>0.4</v>
      </c>
      <c r="H35" s="87" t="n">
        <f aca="false">IFERROR(VLOOKUP(C32,'📋 Tabela de Alimentos'!$B$7:$J$203,5,0)*E32/100,0)</f>
        <v>0.4</v>
      </c>
      <c r="I35" s="87" t="n">
        <f aca="false">IFERROR(VLOOKUP(C32,'📋 Tabela de Alimentos'!$B$7:$J$203,6,0)*E32/100,0)</f>
        <v>0</v>
      </c>
      <c r="J35" s="87" t="n">
        <f aca="false">IFERROR(VLOOKUP(C32,'📋 Tabela de Alimentos'!$B$7:$J$203,7,0)*E32/100,0)</f>
        <v>0</v>
      </c>
      <c r="K35" s="88" t="n">
        <f aca="false">IFERROR(F32/$F$4,0)</f>
        <v>0.06325</v>
      </c>
    </row>
    <row r="36" customFormat="false" ht="19.5" hidden="false" customHeight="true" outlineLevel="0" collapsed="false">
      <c r="B36" s="66" t="n">
        <v>24</v>
      </c>
      <c r="C36" s="69" t="s">
        <v>128</v>
      </c>
      <c r="D36" s="85" t="s">
        <v>285</v>
      </c>
      <c r="E36" s="62" t="n">
        <v>80</v>
      </c>
      <c r="F36" s="20" t="n">
        <f aca="false">IFERROR(VLOOKUP(C33,'📋 Tabela de Alimentos'!$B$7:$J$203,3,0)*E33/100,0)</f>
        <v>0</v>
      </c>
      <c r="G36" s="20" t="n">
        <f aca="false">IFERROR(VLOOKUP(C33,'📋 Tabela de Alimentos'!$B$7:$J$203,4,0)*E33/100,0)</f>
        <v>0</v>
      </c>
      <c r="H36" s="20" t="n">
        <f aca="false">IFERROR(VLOOKUP(C33,'📋 Tabela de Alimentos'!$B$7:$J$203,5,0)*E33/100,0)</f>
        <v>0</v>
      </c>
      <c r="I36" s="20" t="n">
        <f aca="false">IFERROR(VLOOKUP(C33,'📋 Tabela de Alimentos'!$B$7:$J$203,6,0)*E33/100,0)</f>
        <v>0</v>
      </c>
      <c r="J36" s="20" t="n">
        <f aca="false">IFERROR(VLOOKUP(C33,'📋 Tabela de Alimentos'!$B$7:$J$203,7,0)*E33/100,0)</f>
        <v>0</v>
      </c>
      <c r="K36" s="67" t="n">
        <f aca="false">IFERROR(F33/$F$4,0)</f>
        <v>0</v>
      </c>
    </row>
    <row r="37" customFormat="false" ht="24" hidden="false" customHeight="true" outlineLevel="0" collapsed="false">
      <c r="B37" s="86" t="n">
        <v>25</v>
      </c>
      <c r="C37" s="86" t="s">
        <v>106</v>
      </c>
      <c r="D37" s="86" t="s">
        <v>285</v>
      </c>
      <c r="E37" s="86" t="n">
        <v>40</v>
      </c>
      <c r="F37" s="86" t="n">
        <f aca="false">IFERROR(VLOOKUP(C34,'📋 Tabela de Alimentos'!$B$7:$J$203,3,0)*E34/100,0)</f>
        <v>166.4</v>
      </c>
      <c r="G37" s="86" t="n">
        <f aca="false">IFERROR(VLOOKUP(C34,'📋 Tabela de Alimentos'!$B$7:$J$203,4,0)*E34/100,0)</f>
        <v>34.06</v>
      </c>
      <c r="H37" s="86" t="n">
        <f aca="false">IFERROR(VLOOKUP(C34,'📋 Tabela de Alimentos'!$B$7:$J$203,5,0)*E34/100,0)</f>
        <v>0</v>
      </c>
      <c r="I37" s="86" t="n">
        <f aca="false">IFERROR(VLOOKUP(C34,'📋 Tabela de Alimentos'!$B$7:$J$203,6,0)*E34/100,0)</f>
        <v>3.38</v>
      </c>
      <c r="J37" s="86" t="n">
        <f aca="false">IFERROR(VLOOKUP(C34,'📋 Tabela de Alimentos'!$B$7:$J$203,7,0)*E34/100,0)</f>
        <v>0</v>
      </c>
      <c r="K37" s="86" t="n">
        <f aca="false">IFERROR(F34/$F$4,0)</f>
        <v>0.012</v>
      </c>
    </row>
    <row r="38" customFormat="false" ht="19.5" hidden="false" customHeight="true" outlineLevel="0" collapsed="false">
      <c r="B38" s="66" t="n">
        <v>26</v>
      </c>
      <c r="C38" s="69" t="s">
        <v>112</v>
      </c>
      <c r="D38" s="85" t="s">
        <v>285</v>
      </c>
      <c r="E38" s="62" t="n">
        <v>60</v>
      </c>
      <c r="F38" s="20" t="n">
        <f aca="false">IFERROR(VLOOKUP(C35,'📋 Tabela de Alimentos'!$B$7:$J$203,3,0)*E35/100,0)</f>
        <v>110</v>
      </c>
      <c r="G38" s="20" t="n">
        <f aca="false">IFERROR(VLOOKUP(C35,'📋 Tabela de Alimentos'!$B$7:$J$203,4,0)*E35/100,0)</f>
        <v>1.4</v>
      </c>
      <c r="H38" s="20" t="n">
        <f aca="false">IFERROR(VLOOKUP(C35,'📋 Tabela de Alimentos'!$B$7:$J$203,5,0)*E35/100,0)</f>
        <v>26</v>
      </c>
      <c r="I38" s="20" t="n">
        <f aca="false">IFERROR(VLOOKUP(C35,'📋 Tabela de Alimentos'!$B$7:$J$203,6,0)*E35/100,0)</f>
        <v>0.1</v>
      </c>
      <c r="J38" s="20" t="n">
        <f aca="false">IFERROR(VLOOKUP(C35,'📋 Tabela de Alimentos'!$B$7:$J$203,7,0)*E35/100,0)</f>
        <v>2.7</v>
      </c>
      <c r="K38" s="67" t="n">
        <f aca="false">IFERROR(F35/$F$4,0)</f>
        <v>0.001</v>
      </c>
    </row>
    <row r="39" customFormat="false" ht="19.5" hidden="false" customHeight="true" outlineLevel="0" collapsed="false">
      <c r="B39" s="86" t="n">
        <v>27</v>
      </c>
      <c r="C39" s="69" t="s">
        <v>208</v>
      </c>
      <c r="D39" s="85" t="s">
        <v>285</v>
      </c>
      <c r="E39" s="62" t="n">
        <v>5</v>
      </c>
      <c r="F39" s="87" t="n">
        <f aca="false">IFERROR(VLOOKUP(C36,'📋 Tabela de Alimentos'!$B$7:$J$203,3,0)*E36/100,0)</f>
        <v>9.6</v>
      </c>
      <c r="G39" s="87" t="n">
        <f aca="false">IFERROR(VLOOKUP(C36,'📋 Tabela de Alimentos'!$B$7:$J$203,4,0)*E36/100,0)</f>
        <v>0.64</v>
      </c>
      <c r="H39" s="87" t="n">
        <f aca="false">IFERROR(VLOOKUP(C36,'📋 Tabela de Alimentos'!$B$7:$J$203,5,0)*E36/100,0)</f>
        <v>1.84</v>
      </c>
      <c r="I39" s="87" t="n">
        <f aca="false">IFERROR(VLOOKUP(C36,'📋 Tabela de Alimentos'!$B$7:$J$203,6,0)*E36/100,0)</f>
        <v>0.08</v>
      </c>
      <c r="J39" s="87" t="n">
        <f aca="false">IFERROR(VLOOKUP(C36,'📋 Tabela de Alimentos'!$B$7:$J$203,7,0)*E36/100,0)</f>
        <v>0.88</v>
      </c>
      <c r="K39" s="88" t="n">
        <f aca="false">IFERROR(F36/$F$4,0)</f>
        <v>0</v>
      </c>
    </row>
    <row r="40" customFormat="false" ht="19.5" hidden="false" customHeight="true" outlineLevel="0" collapsed="false">
      <c r="B40" s="89" t="s">
        <v>286</v>
      </c>
      <c r="C40" s="27"/>
      <c r="D40" s="27"/>
      <c r="E40" s="27"/>
      <c r="F40" s="27"/>
      <c r="G40" s="27"/>
      <c r="H40" s="27"/>
      <c r="I40" s="27"/>
      <c r="J40" s="27"/>
      <c r="K40" s="27"/>
    </row>
    <row r="41" customFormat="false" ht="7.5" hidden="false" customHeight="true" outlineLevel="0" collapsed="false">
      <c r="B41" s="90" t="n">
        <v>28</v>
      </c>
      <c r="C41" s="69" t="s">
        <v>90</v>
      </c>
      <c r="D41" s="91" t="s">
        <v>287</v>
      </c>
      <c r="E41" s="62" t="n">
        <v>120</v>
      </c>
      <c r="F41" s="92" t="n">
        <f aca="false">IFERROR(VLOOKUP(C38,'📋 Tabela de Alimentos'!$B$7:$J$203,3,0)*E38/100,0)</f>
        <v>10.8</v>
      </c>
      <c r="G41" s="92" t="n">
        <f aca="false">IFERROR(VLOOKUP(C38,'📋 Tabela de Alimentos'!$B$7:$J$203,4,0)*E38/100,0)</f>
        <v>0.54</v>
      </c>
      <c r="H41" s="92" t="n">
        <f aca="false">IFERROR(VLOOKUP(C38,'📋 Tabela de Alimentos'!$B$7:$J$203,5,0)*E38/100,0)</f>
        <v>2.1</v>
      </c>
      <c r="I41" s="92" t="n">
        <f aca="false">IFERROR(VLOOKUP(C38,'📋 Tabela de Alimentos'!$B$7:$J$203,6,0)*E38/100,0)</f>
        <v>0.12</v>
      </c>
      <c r="J41" s="92" t="n">
        <f aca="false">IFERROR(VLOOKUP(C38,'📋 Tabela de Alimentos'!$B$7:$J$203,7,0)*E38/100,0)</f>
        <v>0.72</v>
      </c>
      <c r="K41" s="93" t="n">
        <f aca="false">IFERROR(F38/$F$4,0)</f>
        <v>0.055</v>
      </c>
    </row>
    <row r="42" customFormat="false" ht="27.75" hidden="false" customHeight="true" outlineLevel="0" collapsed="false">
      <c r="B42" s="94" t="n">
        <v>29</v>
      </c>
      <c r="C42" s="94" t="s">
        <v>204</v>
      </c>
      <c r="D42" s="94" t="s">
        <v>287</v>
      </c>
      <c r="E42" s="94" t="n">
        <v>10</v>
      </c>
      <c r="F42" s="20" t="n">
        <f aca="false">IFERROR(VLOOKUP(C39,'📋 Tabela de Alimentos'!$B$7:$J$203,3,0)*E39/100,0)</f>
        <v>44.2</v>
      </c>
      <c r="G42" s="20" t="n">
        <f aca="false">IFERROR(VLOOKUP(C39,'📋 Tabela de Alimentos'!$B$7:$J$203,4,0)*E39/100,0)</f>
        <v>0</v>
      </c>
      <c r="H42" s="20" t="n">
        <f aca="false">IFERROR(VLOOKUP(C39,'📋 Tabela de Alimentos'!$B$7:$J$203,5,0)*E39/100,0)</f>
        <v>0</v>
      </c>
      <c r="I42" s="20" t="n">
        <f aca="false">IFERROR(VLOOKUP(C39,'📋 Tabela de Alimentos'!$B$7:$J$203,6,0)*E39/100,0)</f>
        <v>5</v>
      </c>
      <c r="J42" s="20" t="n">
        <f aca="false">IFERROR(VLOOKUP(C39,'📋 Tabela de Alimentos'!$B$7:$J$203,7,0)*E39/100,0)</f>
        <v>0</v>
      </c>
      <c r="K42" s="67" t="n">
        <f aca="false">IFERROR(F39/$F$4,0)</f>
        <v>0.0048</v>
      </c>
    </row>
    <row r="43" customFormat="false" ht="24" hidden="false" customHeight="true" outlineLevel="0" collapsed="false">
      <c r="B43" s="95" t="n">
        <v>30</v>
      </c>
      <c r="C43" s="95" t="s">
        <v>197</v>
      </c>
      <c r="D43" s="95" t="s">
        <v>287</v>
      </c>
      <c r="E43" s="95" t="n">
        <v>5</v>
      </c>
      <c r="F43" s="92" t="n">
        <f aca="false">IFERROR(VLOOKUP(C40,'📋 Tabela de Alimentos'!$B$7:$J$203,3,0)*E40/100,0)</f>
        <v>0</v>
      </c>
      <c r="G43" s="92" t="n">
        <f aca="false">IFERROR(VLOOKUP(C40,'📋 Tabela de Alimentos'!$B$7:$J$203,4,0)*E40/100,0)</f>
        <v>0</v>
      </c>
      <c r="H43" s="92" t="n">
        <f aca="false">IFERROR(VLOOKUP(C40,'📋 Tabela de Alimentos'!$B$7:$J$203,5,0)*E40/100,0)</f>
        <v>0</v>
      </c>
      <c r="I43" s="92" t="n">
        <f aca="false">IFERROR(VLOOKUP(C40,'📋 Tabela de Alimentos'!$B$7:$J$203,6,0)*E40/100,0)</f>
        <v>0</v>
      </c>
      <c r="J43" s="92" t="n">
        <f aca="false">IFERROR(VLOOKUP(C40,'📋 Tabela de Alimentos'!$B$7:$J$203,7,0)*E40/100,0)</f>
        <v>0</v>
      </c>
      <c r="K43" s="93" t="n">
        <f aca="false">IFERROR(F40/$F$4,0)</f>
        <v>0</v>
      </c>
    </row>
    <row r="44" customFormat="false" ht="7.5" hidden="false" customHeight="true" outlineLevel="0" collapsed="false"/>
    <row r="45" customFormat="false" ht="24" hidden="false" customHeight="true" outlineLevel="0" collapsed="false">
      <c r="B45" s="96" t="s">
        <v>288</v>
      </c>
      <c r="C45" s="96"/>
      <c r="D45" s="96"/>
      <c r="E45" s="96"/>
      <c r="F45" s="96" t="n">
        <f aca="false">SUM(F9:F43)</f>
        <v>1769.57</v>
      </c>
      <c r="G45" s="96" t="n">
        <f aca="false">SUM(G9:G43)</f>
        <v>122.095</v>
      </c>
      <c r="H45" s="96" t="n">
        <f aca="false">SUM(H9:H43)</f>
        <v>208.775</v>
      </c>
      <c r="I45" s="96" t="n">
        <f aca="false">SUM(I9:I43)</f>
        <v>53.76</v>
      </c>
      <c r="J45" s="96" t="n">
        <f aca="false">SUM(J9:J43)</f>
        <v>33.44</v>
      </c>
      <c r="K45" s="96" t="n">
        <f aca="false">IFERROR(F45/F4,0)</f>
        <v>0.884785</v>
      </c>
    </row>
    <row r="46" customFormat="false" ht="30" hidden="false" customHeight="true" outlineLevel="0" collapsed="false">
      <c r="B46" s="97" t="s">
        <v>289</v>
      </c>
      <c r="C46" s="97"/>
      <c r="D46" s="27"/>
      <c r="E46" s="27"/>
      <c r="F46" s="98" t="str">
        <f aca="false">IF(F45&lt;F4*0.9,"⚠️ Abaixo",IF(F45&lt;=F4,"✅ Na meta",IF(F45&lt;=F4*1.1,"🟡 Acima 10%","🔴 Excedido")))</f>
        <v>⚠️ Abaixo</v>
      </c>
      <c r="G46" s="98" t="str">
        <f aca="false">IF(G45&gt;=H5,"✅ OK",IF(G45&gt;=H5*0.8,"🟡 Razoável","🔴 Baixo"))</f>
        <v>🟡 Razoável</v>
      </c>
      <c r="H46" s="99" t="str">
        <f aca="false">IF(H45&lt;=J5,"✅ OK",IF(H45&lt;=J5*1.15,"🟡 Atenção","🔴 Excedido"))</f>
        <v>✅ OK</v>
      </c>
      <c r="I46" s="99"/>
      <c r="J46" s="25"/>
      <c r="K46" s="25"/>
    </row>
    <row r="47" customFormat="false" ht="19.5" hidden="false" customHeight="true" outlineLevel="0" collapsed="false"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customFormat="false" ht="19.5" hidden="false" customHeight="true" outlineLevel="0" collapsed="false">
      <c r="B48" s="100" t="s">
        <v>290</v>
      </c>
      <c r="C48" s="100"/>
      <c r="D48" s="27"/>
      <c r="E48" s="27"/>
      <c r="F48" s="27"/>
      <c r="G48" s="27"/>
      <c r="H48" s="27"/>
      <c r="I48" s="27"/>
      <c r="J48" s="27"/>
      <c r="K48" s="27"/>
    </row>
    <row r="49" customFormat="false" ht="19.5" hidden="false" customHeight="true" outlineLevel="0" collapsed="false">
      <c r="B49" s="101" t="s">
        <v>259</v>
      </c>
      <c r="C49" s="101"/>
      <c r="D49" s="102" t="s">
        <v>291</v>
      </c>
      <c r="E49" s="102"/>
      <c r="F49" s="103" t="s">
        <v>292</v>
      </c>
      <c r="G49" s="103"/>
      <c r="H49" s="104" t="s">
        <v>293</v>
      </c>
      <c r="I49" s="104"/>
      <c r="J49" s="105" t="s">
        <v>294</v>
      </c>
      <c r="K49" s="105"/>
    </row>
    <row r="50" customFormat="false" ht="19.5" hidden="false" customHeight="true" outlineLevel="0" collapsed="false">
      <c r="B50" s="13" t="s">
        <v>269</v>
      </c>
      <c r="C50" s="13"/>
      <c r="D50" s="106" t="n">
        <f aca="false">SUM(F9:F16)</f>
        <v>464.15</v>
      </c>
      <c r="E50" s="106"/>
      <c r="F50" s="107" t="n">
        <f aca="false">SUM(G9:G16)</f>
        <v>25.595</v>
      </c>
      <c r="G50" s="107"/>
      <c r="H50" s="107" t="n">
        <f aca="false">SUM(H9:H16)</f>
        <v>49.065</v>
      </c>
      <c r="I50" s="107"/>
      <c r="J50" s="108" t="n">
        <f aca="false">IFERROR(D50/F45,0)</f>
        <v>0.262295359889691</v>
      </c>
      <c r="K50" s="108"/>
    </row>
    <row r="51" customFormat="false" ht="19.5" hidden="false" customHeight="true" outlineLevel="0" collapsed="false">
      <c r="B51" s="39" t="s">
        <v>279</v>
      </c>
      <c r="C51" s="39"/>
      <c r="D51" s="109" t="n">
        <f aca="false">SUM(F18:F19)</f>
        <v>67.2</v>
      </c>
      <c r="E51" s="109"/>
      <c r="F51" s="110" t="n">
        <f aca="false">SUM(G18:G19)</f>
        <v>0.36</v>
      </c>
      <c r="G51" s="110"/>
      <c r="H51" s="110" t="n">
        <f aca="false">SUM(H18:H19)</f>
        <v>17.88</v>
      </c>
      <c r="I51" s="110"/>
      <c r="J51" s="111" t="n">
        <f aca="false">IFERROR(D51/F45,0)</f>
        <v>0.0379753273394101</v>
      </c>
      <c r="K51" s="111"/>
    </row>
    <row r="52" customFormat="false" ht="19.5" hidden="false" customHeight="true" outlineLevel="0" collapsed="false">
      <c r="B52" s="31" t="s">
        <v>281</v>
      </c>
      <c r="C52" s="31"/>
      <c r="D52" s="112" t="n">
        <f aca="false">SUM(F21:F27)</f>
        <v>614.2</v>
      </c>
      <c r="E52" s="112"/>
      <c r="F52" s="113" t="n">
        <f aca="false">SUM(G21:G27)</f>
        <v>52.89</v>
      </c>
      <c r="G52" s="113"/>
      <c r="H52" s="113" t="n">
        <f aca="false">SUM(H21:H27)</f>
        <v>67.51</v>
      </c>
      <c r="I52" s="113"/>
      <c r="J52" s="114" t="n">
        <f aca="false">IFERROR(D52/F45,0)</f>
        <v>0.347089971009906</v>
      </c>
      <c r="K52" s="114"/>
    </row>
    <row r="53" customFormat="false" ht="15" hidden="false" customHeight="false" outlineLevel="0" collapsed="false">
      <c r="B53" s="29" t="s">
        <v>283</v>
      </c>
      <c r="C53" s="27"/>
      <c r="D53" s="109" t="n">
        <f aca="false">SUM(F29:F32)</f>
        <v>257.02</v>
      </c>
      <c r="E53" s="27"/>
      <c r="F53" s="110" t="n">
        <f aca="false">SUM(G29:G32)</f>
        <v>5.57</v>
      </c>
      <c r="G53" s="27"/>
      <c r="H53" s="110" t="n">
        <f aca="false">SUM(H29:H32)</f>
        <v>38.3</v>
      </c>
      <c r="I53" s="27"/>
      <c r="J53" s="111" t="n">
        <f aca="false">IFERROR(D53/F45,0)</f>
        <v>0.145244324892488</v>
      </c>
      <c r="K53" s="27"/>
    </row>
    <row r="54" customFormat="false" ht="15" hidden="false" customHeight="false" outlineLevel="0" collapsed="false">
      <c r="B54" s="33" t="s">
        <v>285</v>
      </c>
      <c r="C54" s="27"/>
      <c r="D54" s="115" t="n">
        <f aca="false">SUM(F34:F39)</f>
        <v>312</v>
      </c>
      <c r="E54" s="27"/>
      <c r="F54" s="116" t="n">
        <f aca="false">SUM(G34:G39)</f>
        <v>37.14</v>
      </c>
      <c r="G54" s="27"/>
      <c r="H54" s="116" t="n">
        <f aca="false">SUM(H34:H39)</f>
        <v>33.92</v>
      </c>
      <c r="I54" s="27"/>
      <c r="J54" s="117" t="n">
        <f aca="false">IFERROR(D54/F45,0)</f>
        <v>0.176314019790119</v>
      </c>
      <c r="K54" s="27"/>
    </row>
    <row r="55" customFormat="false" ht="15" hidden="false" customHeight="false" outlineLevel="0" collapsed="false">
      <c r="B55" s="41" t="s">
        <v>287</v>
      </c>
      <c r="C55" s="27"/>
      <c r="D55" s="109" t="n">
        <f aca="false">SUM(F41:F43)</f>
        <v>55</v>
      </c>
      <c r="E55" s="27"/>
      <c r="F55" s="110" t="n">
        <f aca="false">SUM(G41:G43)</f>
        <v>0.54</v>
      </c>
      <c r="G55" s="27"/>
      <c r="H55" s="110" t="n">
        <f aca="false">SUM(H41:H43)</f>
        <v>2.1</v>
      </c>
      <c r="I55" s="27"/>
      <c r="J55" s="111" t="n">
        <f aca="false">IFERROR(D55/F45,0)</f>
        <v>0.0310809970783863</v>
      </c>
      <c r="K55" s="27"/>
    </row>
  </sheetData>
  <mergeCells count="48">
    <mergeCell ref="B2:K2"/>
    <mergeCell ref="B3:K3"/>
    <mergeCell ref="B4:D4"/>
    <mergeCell ref="B5:D5"/>
    <mergeCell ref="B8:K8"/>
    <mergeCell ref="B14:K14"/>
    <mergeCell ref="B17:K17"/>
    <mergeCell ref="B25:K25"/>
    <mergeCell ref="B30:K30"/>
    <mergeCell ref="B37:K37"/>
    <mergeCell ref="B42:E42"/>
    <mergeCell ref="B43:E43"/>
    <mergeCell ref="B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</mergeCells>
  <dataValidations count="1">
    <dataValidation allowBlank="true" error="Escolha um alimento da lista ou deixe em branco." errorStyle="stop" errorTitle="Alimento inválido" operator="between" prompt="Clique na seta ▼ para ver todos os alimentos disponíveis, ou digite para filtrar." promptTitle="🥗 Selecionar Alimento" showDropDown="false" showErrorMessage="true" showInputMessage="true" sqref="C9:C16 C18:C19 C21:C27 C29:C32 C34:C39 C41:C43" type="list">
      <formula1>'🔧 Listas'!$A$2:$A$132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8"/>
    <col collapsed="false" customWidth="true" hidden="false" outlineLevel="0" max="8" min="8" style="1" width="2"/>
  </cols>
  <sheetData>
    <row r="1" customFormat="false" ht="6" hidden="false" customHeight="true" outlineLevel="0" collapsed="false"/>
    <row r="2" customFormat="false" ht="31.5" hidden="false" customHeight="true" outlineLevel="0" collapsed="false">
      <c r="B2" s="118" t="s">
        <v>295</v>
      </c>
      <c r="C2" s="118"/>
      <c r="D2" s="118"/>
      <c r="E2" s="118"/>
      <c r="F2" s="118"/>
      <c r="G2" s="118"/>
    </row>
    <row r="3" customFormat="false" ht="7.5" hidden="false" customHeight="true" outlineLevel="0" collapsed="false"/>
    <row r="4" customFormat="false" ht="27.75" hidden="false" customHeight="true" outlineLevel="0" collapsed="false">
      <c r="B4" s="6" t="s">
        <v>296</v>
      </c>
      <c r="C4" s="57" t="s">
        <v>297</v>
      </c>
      <c r="D4" s="7" t="s">
        <v>298</v>
      </c>
      <c r="E4" s="8" t="s">
        <v>299</v>
      </c>
      <c r="F4" s="9" t="s">
        <v>300</v>
      </c>
      <c r="G4" s="10" t="s">
        <v>301</v>
      </c>
    </row>
    <row r="5" customFormat="false" ht="42" hidden="false" customHeight="true" outlineLevel="0" collapsed="false">
      <c r="B5" s="119" t="n">
        <f aca="false">'🍽️ Plano do Dia'!F45</f>
        <v>1769.57</v>
      </c>
      <c r="C5" s="120" t="n">
        <f aca="false">'🍽️ Plano do Dia'!F4</f>
        <v>2000</v>
      </c>
      <c r="D5" s="121" t="n">
        <f aca="false">'🍽️ Plano do Dia'!G45</f>
        <v>122.095</v>
      </c>
      <c r="E5" s="122" t="n">
        <f aca="false">'🍽️ Plano do Dia'!H45</f>
        <v>208.775</v>
      </c>
      <c r="F5" s="123" t="n">
        <f aca="false">'🍽️ Plano do Dia'!I45</f>
        <v>53.76</v>
      </c>
      <c r="G5" s="124" t="n">
        <f aca="false">'🍽️ Plano do Dia'!J45</f>
        <v>33.44</v>
      </c>
    </row>
    <row r="6" customFormat="false" ht="9.75" hidden="false" customHeight="true" outlineLevel="0" collapsed="false"/>
    <row r="7" customFormat="false" ht="24" hidden="false" customHeight="true" outlineLevel="0" collapsed="false">
      <c r="B7" s="37" t="s">
        <v>302</v>
      </c>
      <c r="C7" s="37"/>
      <c r="D7" s="37"/>
      <c r="E7" s="37"/>
      <c r="F7" s="37"/>
      <c r="G7" s="37"/>
    </row>
    <row r="8" customFormat="false" ht="36" hidden="false" customHeight="true" outlineLevel="0" collapsed="false">
      <c r="B8" s="7" t="s">
        <v>303</v>
      </c>
      <c r="C8" s="7" t="s">
        <v>304</v>
      </c>
      <c r="D8" s="6" t="s">
        <v>305</v>
      </c>
      <c r="E8" s="6" t="s">
        <v>306</v>
      </c>
      <c r="F8" s="10" t="s">
        <v>307</v>
      </c>
      <c r="G8" s="10" t="s">
        <v>308</v>
      </c>
    </row>
    <row r="9" customFormat="false" ht="21.75" hidden="false" customHeight="true" outlineLevel="0" collapsed="false">
      <c r="B9" s="125" t="s">
        <v>309</v>
      </c>
      <c r="C9" s="126" t="n">
        <f aca="false">'🍽️ Plano do Dia'!G45</f>
        <v>122.095</v>
      </c>
      <c r="D9" s="127" t="n">
        <f aca="false">C9*4</f>
        <v>488.38</v>
      </c>
      <c r="E9" s="67" t="n">
        <f aca="false">IFERROR(D9/B5,0)</f>
        <v>0.275987951875314</v>
      </c>
      <c r="F9" s="128" t="s">
        <v>310</v>
      </c>
      <c r="G9" s="129" t="str">
        <f aca="false">IF(ABS(E9-0.25)&lt;0.05,"✅ Ideal",IF(E9&lt;0.25,"🔽 Abaixo","🔼 Acima"))</f>
        <v>✅ Ideal</v>
      </c>
    </row>
    <row r="10" customFormat="false" ht="21.75" hidden="false" customHeight="true" outlineLevel="0" collapsed="false">
      <c r="B10" s="130" t="s">
        <v>311</v>
      </c>
      <c r="C10" s="131" t="n">
        <f aca="false">'🍽️ Plano do Dia'!H45</f>
        <v>208.775</v>
      </c>
      <c r="D10" s="132" t="n">
        <f aca="false">C10*4</f>
        <v>835.1</v>
      </c>
      <c r="E10" s="83" t="n">
        <f aca="false">IFERROR(D10/B5,0)</f>
        <v>0.471922557457461</v>
      </c>
      <c r="F10" s="133" t="s">
        <v>312</v>
      </c>
      <c r="G10" s="134" t="str">
        <f aca="false">IF(ABS(E10-0.5)&lt;0.05,"✅ Ideal",IF(E10&lt;0.5,"🔽 Abaixo","🔼 Acima"))</f>
        <v>✅ Ideal</v>
      </c>
    </row>
    <row r="11" customFormat="false" ht="21.75" hidden="false" customHeight="true" outlineLevel="0" collapsed="false">
      <c r="B11" s="125" t="s">
        <v>313</v>
      </c>
      <c r="C11" s="126" t="n">
        <f aca="false">'🍽️ Plano do Dia'!I45</f>
        <v>53.76</v>
      </c>
      <c r="D11" s="127" t="n">
        <f aca="false">C11*9</f>
        <v>483.84</v>
      </c>
      <c r="E11" s="67" t="n">
        <f aca="false">IFERROR(D11/B5,0)</f>
        <v>0.273422356843753</v>
      </c>
      <c r="F11" s="128" t="s">
        <v>310</v>
      </c>
      <c r="G11" s="129" t="str">
        <f aca="false">IF(ABS(E11-0.25)&lt;0.05,"✅ Ideal",IF(E11&lt;0.25,"🔽 Abaixo","🔼 Acima"))</f>
        <v>✅ Ideal</v>
      </c>
    </row>
    <row r="12" customFormat="false" ht="9.75" hidden="false" customHeight="true" outlineLevel="0" collapsed="false"/>
    <row r="13" customFormat="false" ht="24" hidden="false" customHeight="true" outlineLevel="0" collapsed="false">
      <c r="B13" s="135" t="s">
        <v>314</v>
      </c>
      <c r="C13" s="135"/>
      <c r="D13" s="135"/>
      <c r="E13" s="135"/>
      <c r="F13" s="135"/>
      <c r="G13" s="135"/>
    </row>
    <row r="14" customFormat="false" ht="36" hidden="false" customHeight="true" outlineLevel="0" collapsed="false">
      <c r="B14" s="10" t="s">
        <v>315</v>
      </c>
      <c r="C14" s="10" t="s">
        <v>316</v>
      </c>
      <c r="D14" s="10" t="s">
        <v>317</v>
      </c>
      <c r="E14" s="10" t="s">
        <v>308</v>
      </c>
      <c r="F14" s="136" t="s">
        <v>318</v>
      </c>
      <c r="G14" s="136"/>
    </row>
    <row r="15" customFormat="false" ht="21.75" hidden="false" customHeight="true" outlineLevel="0" collapsed="false">
      <c r="B15" s="137" t="s">
        <v>319</v>
      </c>
      <c r="C15" s="138" t="n">
        <f aca="false">'🍽️ Plano do Dia'!F42-'🍽️ Plano do Dia'!F4</f>
        <v>-1955.8</v>
      </c>
      <c r="D15" s="139" t="s">
        <v>320</v>
      </c>
      <c r="E15" s="140" t="str">
        <f aca="false">IF(ABS('🍽️ Plano do Dia'!F42-'🍽️ Plano do Dia'!F4)&lt;=100,"✅ Equilibrado",IF('🍽️ Plano do Dia'!F42&lt;'🍽️ Plano do Dia'!F4,"⬇️ Déficit","⬆️ Superávit"))</f>
        <v>⬇️ Déficit</v>
      </c>
      <c r="F15" s="141" t="s">
        <v>321</v>
      </c>
      <c r="G15" s="141"/>
    </row>
    <row r="16" customFormat="false" ht="21.75" hidden="false" customHeight="true" outlineLevel="0" collapsed="false">
      <c r="B16" s="125" t="s">
        <v>322</v>
      </c>
      <c r="C16" s="142" t="n">
        <f aca="false">IFERROR('🍽️ Plano do Dia'!G42/'🍽️ Plano do Dia'!H4,0)</f>
        <v>0</v>
      </c>
      <c r="D16" s="143" t="s">
        <v>323</v>
      </c>
      <c r="E16" s="144" t="str">
        <f aca="false">IF('🍽️ Plano do Dia'!G42/'🍽️ Plano do Dia'!H4&gt;=1.6,"✅ Adequado","⚠️ Aumentar proteína")</f>
        <v>⚠️ Aumentar proteína</v>
      </c>
      <c r="F16" s="145" t="s">
        <v>324</v>
      </c>
      <c r="G16" s="145"/>
    </row>
    <row r="17" customFormat="false" ht="21.75" hidden="false" customHeight="true" outlineLevel="0" collapsed="false">
      <c r="B17" s="137" t="s">
        <v>325</v>
      </c>
      <c r="C17" s="146" t="n">
        <f aca="false">'🍽️ Plano do Dia'!J42</f>
        <v>0</v>
      </c>
      <c r="D17" s="139" t="s">
        <v>326</v>
      </c>
      <c r="E17" s="140" t="str">
        <f aca="false">IF('🍽️ Plano do Dia'!J42&gt;=25,"✅ Adequado",IF('🍽️ Plano do Dia'!J42&gt;=15,"🟡 Regular","🔴 Insuficiente"))</f>
        <v>🔴 Insuficiente</v>
      </c>
      <c r="F17" s="141" t="s">
        <v>327</v>
      </c>
      <c r="G17" s="141"/>
    </row>
    <row r="18" customFormat="false" ht="21.75" hidden="false" customHeight="true" outlineLevel="0" collapsed="false">
      <c r="B18" s="125" t="s">
        <v>328</v>
      </c>
      <c r="C18" s="147" t="n">
        <f aca="false">'🍽️ Plano do Dia'!I42</f>
        <v>5</v>
      </c>
      <c r="D18" s="143" t="s">
        <v>329</v>
      </c>
      <c r="E18" s="144" t="str">
        <f aca="false">IF('🍽️ Plano do Dia'!I42*9/'🍽️ Plano do Dia'!F42&lt;=0.35,"✅ Adequado","⚠️ Revisar gorduras")</f>
        <v>⚠️ Revisar gorduras</v>
      </c>
      <c r="F18" s="145" t="s">
        <v>330</v>
      </c>
      <c r="G18" s="145"/>
    </row>
    <row r="19" customFormat="false" ht="21.75" hidden="false" customHeight="true" outlineLevel="0" collapsed="false">
      <c r="B19" s="137" t="s">
        <v>331</v>
      </c>
      <c r="C19" s="148" t="n">
        <f aca="false">COUNTIFS('🍽️ Plano do Dia'!D8:D40,"*Almoço*",'🍽️ Plano do Dia'!C8:C40,"&lt;&gt;")</f>
        <v>7</v>
      </c>
      <c r="D19" s="139" t="s">
        <v>332</v>
      </c>
      <c r="E19" s="140" t="s">
        <v>333</v>
      </c>
      <c r="F19" s="141" t="s">
        <v>334</v>
      </c>
      <c r="G19" s="141"/>
    </row>
    <row r="21" customFormat="false" ht="24" hidden="false" customHeight="true" outlineLevel="0" collapsed="false">
      <c r="B21" s="33" t="s">
        <v>335</v>
      </c>
      <c r="C21" s="33"/>
      <c r="D21" s="33"/>
      <c r="E21" s="33"/>
      <c r="F21" s="33"/>
      <c r="G21" s="33"/>
    </row>
    <row r="22" customFormat="false" ht="36" hidden="false" customHeight="true" outlineLevel="0" collapsed="false">
      <c r="B22" s="57" t="s">
        <v>336</v>
      </c>
      <c r="C22" s="57" t="s">
        <v>337</v>
      </c>
      <c r="D22" s="57" t="s">
        <v>338</v>
      </c>
      <c r="E22" s="6" t="s">
        <v>339</v>
      </c>
      <c r="F22" s="149" t="s">
        <v>318</v>
      </c>
      <c r="G22" s="149"/>
    </row>
    <row r="23" customFormat="false" ht="21.75" hidden="false" customHeight="true" outlineLevel="0" collapsed="false">
      <c r="B23" s="150" t="s">
        <v>340</v>
      </c>
      <c r="C23" s="151" t="s">
        <v>341</v>
      </c>
      <c r="D23" s="150" t="s">
        <v>342</v>
      </c>
      <c r="E23" s="151" t="s">
        <v>343</v>
      </c>
      <c r="F23" s="46" t="s">
        <v>344</v>
      </c>
      <c r="G23" s="46"/>
    </row>
    <row r="24" customFormat="false" ht="21.75" hidden="false" customHeight="true" outlineLevel="0" collapsed="false">
      <c r="B24" s="152" t="s">
        <v>345</v>
      </c>
      <c r="C24" s="143" t="s">
        <v>346</v>
      </c>
      <c r="D24" s="152" t="s">
        <v>347</v>
      </c>
      <c r="E24" s="143" t="s">
        <v>348</v>
      </c>
      <c r="F24" s="153" t="s">
        <v>349</v>
      </c>
      <c r="G24" s="153"/>
    </row>
    <row r="25" customFormat="false" ht="21.75" hidden="false" customHeight="true" outlineLevel="0" collapsed="false">
      <c r="B25" s="150" t="s">
        <v>350</v>
      </c>
      <c r="C25" s="151" t="s">
        <v>351</v>
      </c>
      <c r="D25" s="150" t="s">
        <v>352</v>
      </c>
      <c r="E25" s="151" t="s">
        <v>353</v>
      </c>
      <c r="F25" s="46" t="s">
        <v>354</v>
      </c>
      <c r="G25" s="46"/>
    </row>
    <row r="26" customFormat="false" ht="21.75" hidden="false" customHeight="true" outlineLevel="0" collapsed="false">
      <c r="B26" s="152" t="s">
        <v>355</v>
      </c>
      <c r="C26" s="143" t="s">
        <v>356</v>
      </c>
      <c r="D26" s="152" t="s">
        <v>357</v>
      </c>
      <c r="E26" s="143" t="s">
        <v>358</v>
      </c>
      <c r="F26" s="153" t="s">
        <v>359</v>
      </c>
      <c r="G26" s="153"/>
    </row>
    <row r="27" customFormat="false" ht="21.75" hidden="false" customHeight="true" outlineLevel="0" collapsed="false">
      <c r="B27" s="150" t="s">
        <v>360</v>
      </c>
      <c r="C27" s="151" t="s">
        <v>361</v>
      </c>
      <c r="D27" s="150" t="s">
        <v>362</v>
      </c>
      <c r="E27" s="151" t="s">
        <v>363</v>
      </c>
      <c r="F27" s="46" t="s">
        <v>364</v>
      </c>
      <c r="G27" s="46"/>
    </row>
    <row r="28" customFormat="false" ht="21.75" hidden="false" customHeight="true" outlineLevel="0" collapsed="false">
      <c r="B28" s="152" t="s">
        <v>142</v>
      </c>
      <c r="C28" s="143" t="s">
        <v>356</v>
      </c>
      <c r="D28" s="152" t="s">
        <v>365</v>
      </c>
      <c r="E28" s="143" t="s">
        <v>366</v>
      </c>
      <c r="F28" s="153" t="s">
        <v>367</v>
      </c>
      <c r="G28" s="153"/>
    </row>
    <row r="29" customFormat="false" ht="21.75" hidden="false" customHeight="true" outlineLevel="0" collapsed="false">
      <c r="B29" s="150" t="s">
        <v>368</v>
      </c>
      <c r="C29" s="151" t="s">
        <v>351</v>
      </c>
      <c r="D29" s="150" t="s">
        <v>369</v>
      </c>
      <c r="E29" s="151" t="s">
        <v>358</v>
      </c>
      <c r="F29" s="46" t="s">
        <v>370</v>
      </c>
      <c r="G29" s="46"/>
    </row>
    <row r="30" customFormat="false" ht="21.75" hidden="false" customHeight="true" outlineLevel="0" collapsed="false">
      <c r="B30" s="152" t="s">
        <v>371</v>
      </c>
      <c r="C30" s="143" t="s">
        <v>372</v>
      </c>
      <c r="D30" s="152" t="s">
        <v>373</v>
      </c>
      <c r="E30" s="143" t="s">
        <v>374</v>
      </c>
      <c r="F30" s="153" t="s">
        <v>375</v>
      </c>
      <c r="G30" s="153"/>
    </row>
  </sheetData>
  <mergeCells count="19">
    <mergeCell ref="B2:G2"/>
    <mergeCell ref="B7:G7"/>
    <mergeCell ref="B13:G13"/>
    <mergeCell ref="F14:G14"/>
    <mergeCell ref="F15:G15"/>
    <mergeCell ref="F16:G16"/>
    <mergeCell ref="F17:G17"/>
    <mergeCell ref="F18:G18"/>
    <mergeCell ref="F19:G19"/>
    <mergeCell ref="B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54" t="s">
        <v>376</v>
      </c>
    </row>
    <row r="2" customFormat="false" ht="15" hidden="false" customHeight="false" outlineLevel="0" collapsed="false">
      <c r="A2" s="0" t="s">
        <v>13</v>
      </c>
    </row>
    <row r="3" customFormat="false" ht="15" hidden="false" customHeight="false" outlineLevel="0" collapsed="false">
      <c r="A3" s="0" t="s">
        <v>16</v>
      </c>
    </row>
    <row r="4" customFormat="false" ht="15" hidden="false" customHeight="false" outlineLevel="0" collapsed="false">
      <c r="A4" s="0" t="s">
        <v>18</v>
      </c>
    </row>
    <row r="5" customFormat="false" ht="15" hidden="false" customHeight="false" outlineLevel="0" collapsed="false">
      <c r="A5" s="0" t="s">
        <v>20</v>
      </c>
    </row>
    <row r="6" customFormat="false" ht="15" hidden="false" customHeight="false" outlineLevel="0" collapsed="false">
      <c r="A6" s="0" t="s">
        <v>22</v>
      </c>
    </row>
    <row r="7" customFormat="false" ht="15" hidden="false" customHeight="false" outlineLevel="0" collapsed="false">
      <c r="A7" s="0" t="s">
        <v>24</v>
      </c>
    </row>
    <row r="8" customFormat="false" ht="15" hidden="false" customHeight="false" outlineLevel="0" collapsed="false">
      <c r="A8" s="0" t="s">
        <v>26</v>
      </c>
    </row>
    <row r="9" customFormat="false" ht="15" hidden="false" customHeight="false" outlineLevel="0" collapsed="false">
      <c r="A9" s="0" t="s">
        <v>28</v>
      </c>
    </row>
    <row r="10" customFormat="false" ht="15" hidden="false" customHeight="false" outlineLevel="0" collapsed="false">
      <c r="A10" s="0" t="s">
        <v>30</v>
      </c>
    </row>
    <row r="11" customFormat="false" ht="15" hidden="false" customHeight="false" outlineLevel="0" collapsed="false">
      <c r="A11" s="0" t="s">
        <v>32</v>
      </c>
    </row>
    <row r="12" customFormat="false" ht="15" hidden="false" customHeight="false" outlineLevel="0" collapsed="false">
      <c r="A12" s="0" t="s">
        <v>34</v>
      </c>
    </row>
    <row r="13" customFormat="false" ht="15" hidden="false" customHeight="false" outlineLevel="0" collapsed="false">
      <c r="A13" s="0" t="s">
        <v>36</v>
      </c>
    </row>
    <row r="14" customFormat="false" ht="15" hidden="false" customHeight="false" outlineLevel="0" collapsed="false">
      <c r="A14" s="0" t="s">
        <v>38</v>
      </c>
    </row>
    <row r="15" customFormat="false" ht="15" hidden="false" customHeight="false" outlineLevel="0" collapsed="false">
      <c r="A15" s="0" t="s">
        <v>40</v>
      </c>
    </row>
    <row r="16" customFormat="false" ht="15" hidden="false" customHeight="false" outlineLevel="0" collapsed="false">
      <c r="A16" s="0" t="s">
        <v>43</v>
      </c>
    </row>
    <row r="17" customFormat="false" ht="15" hidden="false" customHeight="false" outlineLevel="0" collapsed="false">
      <c r="A17" s="0" t="s">
        <v>46</v>
      </c>
    </row>
    <row r="18" customFormat="false" ht="15" hidden="false" customHeight="false" outlineLevel="0" collapsed="false">
      <c r="A18" s="0" t="s">
        <v>48</v>
      </c>
    </row>
    <row r="19" customFormat="false" ht="15" hidden="false" customHeight="false" outlineLevel="0" collapsed="false">
      <c r="A19" s="0" t="s">
        <v>50</v>
      </c>
    </row>
    <row r="20" customFormat="false" ht="15" hidden="false" customHeight="false" outlineLevel="0" collapsed="false">
      <c r="A20" s="0" t="s">
        <v>52</v>
      </c>
    </row>
    <row r="21" customFormat="false" ht="15" hidden="false" customHeight="false" outlineLevel="0" collapsed="false">
      <c r="A21" s="0" t="s">
        <v>54</v>
      </c>
    </row>
    <row r="22" customFormat="false" ht="15" hidden="false" customHeight="false" outlineLevel="0" collapsed="false">
      <c r="A22" s="0" t="s">
        <v>56</v>
      </c>
    </row>
    <row r="23" customFormat="false" ht="15" hidden="false" customHeight="false" outlineLevel="0" collapsed="false">
      <c r="A23" s="0" t="s">
        <v>58</v>
      </c>
    </row>
    <row r="24" customFormat="false" ht="15" hidden="false" customHeight="false" outlineLevel="0" collapsed="false">
      <c r="A24" s="0" t="s">
        <v>60</v>
      </c>
    </row>
    <row r="25" customFormat="false" ht="15" hidden="false" customHeight="false" outlineLevel="0" collapsed="false">
      <c r="A25" s="0" t="s">
        <v>61</v>
      </c>
    </row>
    <row r="26" customFormat="false" ht="15" hidden="false" customHeight="false" outlineLevel="0" collapsed="false">
      <c r="A26" s="0" t="s">
        <v>63</v>
      </c>
    </row>
    <row r="27" customFormat="false" ht="15" hidden="false" customHeight="false" outlineLevel="0" collapsed="false">
      <c r="A27" s="0" t="s">
        <v>65</v>
      </c>
    </row>
    <row r="28" customFormat="false" ht="15" hidden="false" customHeight="false" outlineLevel="0" collapsed="false">
      <c r="A28" s="0" t="s">
        <v>66</v>
      </c>
    </row>
    <row r="29" customFormat="false" ht="15" hidden="false" customHeight="false" outlineLevel="0" collapsed="false">
      <c r="A29" s="0" t="s">
        <v>69</v>
      </c>
    </row>
    <row r="30" customFormat="false" ht="15" hidden="false" customHeight="false" outlineLevel="0" collapsed="false">
      <c r="A30" s="0" t="s">
        <v>72</v>
      </c>
    </row>
    <row r="31" customFormat="false" ht="15" hidden="false" customHeight="false" outlineLevel="0" collapsed="false">
      <c r="A31" s="0" t="s">
        <v>74</v>
      </c>
    </row>
    <row r="32" customFormat="false" ht="15" hidden="false" customHeight="false" outlineLevel="0" collapsed="false">
      <c r="A32" s="0" t="s">
        <v>75</v>
      </c>
    </row>
    <row r="33" customFormat="false" ht="15" hidden="false" customHeight="false" outlineLevel="0" collapsed="false">
      <c r="A33" s="0" t="s">
        <v>77</v>
      </c>
    </row>
    <row r="34" customFormat="false" ht="15" hidden="false" customHeight="false" outlineLevel="0" collapsed="false">
      <c r="A34" s="0" t="s">
        <v>78</v>
      </c>
    </row>
    <row r="35" customFormat="false" ht="15" hidden="false" customHeight="false" outlineLevel="0" collapsed="false">
      <c r="A35" s="0" t="s">
        <v>80</v>
      </c>
    </row>
    <row r="36" customFormat="false" ht="15" hidden="false" customHeight="false" outlineLevel="0" collapsed="false">
      <c r="A36" s="0" t="s">
        <v>82</v>
      </c>
    </row>
    <row r="37" customFormat="false" ht="15" hidden="false" customHeight="false" outlineLevel="0" collapsed="false">
      <c r="A37" s="0" t="s">
        <v>85</v>
      </c>
    </row>
    <row r="38" customFormat="false" ht="15" hidden="false" customHeight="false" outlineLevel="0" collapsed="false">
      <c r="A38" s="0" t="s">
        <v>87</v>
      </c>
    </row>
    <row r="39" customFormat="false" ht="15" hidden="false" customHeight="false" outlineLevel="0" collapsed="false">
      <c r="A39" s="0" t="s">
        <v>89</v>
      </c>
    </row>
    <row r="40" customFormat="false" ht="15" hidden="false" customHeight="false" outlineLevel="0" collapsed="false">
      <c r="A40" s="0" t="s">
        <v>90</v>
      </c>
    </row>
    <row r="41" customFormat="false" ht="15" hidden="false" customHeight="false" outlineLevel="0" collapsed="false">
      <c r="A41" s="0" t="s">
        <v>92</v>
      </c>
    </row>
    <row r="42" customFormat="false" ht="15" hidden="false" customHeight="false" outlineLevel="0" collapsed="false">
      <c r="A42" s="0" t="s">
        <v>93</v>
      </c>
    </row>
    <row r="43" customFormat="false" ht="15" hidden="false" customHeight="false" outlineLevel="0" collapsed="false">
      <c r="A43" s="0" t="s">
        <v>94</v>
      </c>
    </row>
    <row r="44" customFormat="false" ht="15" hidden="false" customHeight="false" outlineLevel="0" collapsed="false">
      <c r="A44" s="0" t="s">
        <v>96</v>
      </c>
    </row>
    <row r="45" customFormat="false" ht="15" hidden="false" customHeight="false" outlineLevel="0" collapsed="false">
      <c r="A45" s="0" t="s">
        <v>97</v>
      </c>
    </row>
    <row r="46" customFormat="false" ht="15" hidden="false" customHeight="false" outlineLevel="0" collapsed="false">
      <c r="A46" s="0" t="s">
        <v>100</v>
      </c>
    </row>
    <row r="47" customFormat="false" ht="15" hidden="false" customHeight="false" outlineLevel="0" collapsed="false">
      <c r="A47" s="0" t="s">
        <v>103</v>
      </c>
    </row>
    <row r="48" customFormat="false" ht="15" hidden="false" customHeight="false" outlineLevel="0" collapsed="false">
      <c r="A48" s="0" t="s">
        <v>104</v>
      </c>
    </row>
    <row r="49" customFormat="false" ht="15" hidden="false" customHeight="false" outlineLevel="0" collapsed="false">
      <c r="A49" s="0" t="s">
        <v>106</v>
      </c>
    </row>
    <row r="50" customFormat="false" ht="15" hidden="false" customHeight="false" outlineLevel="0" collapsed="false">
      <c r="A50" s="0" t="s">
        <v>107</v>
      </c>
    </row>
    <row r="51" customFormat="false" ht="15" hidden="false" customHeight="false" outlineLevel="0" collapsed="false">
      <c r="A51" s="0" t="s">
        <v>108</v>
      </c>
    </row>
    <row r="52" customFormat="false" ht="15" hidden="false" customHeight="false" outlineLevel="0" collapsed="false">
      <c r="A52" s="0" t="s">
        <v>109</v>
      </c>
    </row>
    <row r="53" customFormat="false" ht="15" hidden="false" customHeight="false" outlineLevel="0" collapsed="false">
      <c r="A53" s="0" t="s">
        <v>110</v>
      </c>
    </row>
    <row r="54" customFormat="false" ht="15" hidden="false" customHeight="false" outlineLevel="0" collapsed="false">
      <c r="A54" s="0" t="s">
        <v>112</v>
      </c>
    </row>
    <row r="55" customFormat="false" ht="15" hidden="false" customHeight="false" outlineLevel="0" collapsed="false">
      <c r="A55" s="0" t="s">
        <v>114</v>
      </c>
    </row>
    <row r="56" customFormat="false" ht="15" hidden="false" customHeight="false" outlineLevel="0" collapsed="false">
      <c r="A56" s="0" t="s">
        <v>116</v>
      </c>
    </row>
    <row r="57" customFormat="false" ht="15" hidden="false" customHeight="false" outlineLevel="0" collapsed="false">
      <c r="A57" s="0" t="s">
        <v>118</v>
      </c>
    </row>
    <row r="58" customFormat="false" ht="15" hidden="false" customHeight="false" outlineLevel="0" collapsed="false">
      <c r="A58" s="0" t="s">
        <v>119</v>
      </c>
    </row>
    <row r="59" customFormat="false" ht="15" hidden="false" customHeight="false" outlineLevel="0" collapsed="false">
      <c r="A59" s="0" t="s">
        <v>120</v>
      </c>
    </row>
    <row r="60" customFormat="false" ht="15" hidden="false" customHeight="false" outlineLevel="0" collapsed="false">
      <c r="A60" s="0" t="s">
        <v>121</v>
      </c>
    </row>
    <row r="61" customFormat="false" ht="15" hidden="false" customHeight="false" outlineLevel="0" collapsed="false">
      <c r="A61" s="0" t="s">
        <v>124</v>
      </c>
    </row>
    <row r="62" customFormat="false" ht="15" hidden="false" customHeight="false" outlineLevel="0" collapsed="false">
      <c r="A62" s="0" t="s">
        <v>127</v>
      </c>
    </row>
    <row r="63" customFormat="false" ht="15" hidden="false" customHeight="false" outlineLevel="0" collapsed="false">
      <c r="A63" s="0" t="s">
        <v>128</v>
      </c>
    </row>
    <row r="64" customFormat="false" ht="15" hidden="false" customHeight="false" outlineLevel="0" collapsed="false">
      <c r="A64" s="0" t="s">
        <v>129</v>
      </c>
    </row>
    <row r="65" customFormat="false" ht="15" hidden="false" customHeight="false" outlineLevel="0" collapsed="false">
      <c r="A65" s="0" t="s">
        <v>130</v>
      </c>
    </row>
    <row r="66" customFormat="false" ht="15" hidden="false" customHeight="false" outlineLevel="0" collapsed="false">
      <c r="A66" s="0" t="s">
        <v>131</v>
      </c>
    </row>
    <row r="67" customFormat="false" ht="15" hidden="false" customHeight="false" outlineLevel="0" collapsed="false">
      <c r="A67" s="0" t="s">
        <v>132</v>
      </c>
    </row>
    <row r="68" customFormat="false" ht="15" hidden="false" customHeight="false" outlineLevel="0" collapsed="false">
      <c r="A68" s="0" t="s">
        <v>134</v>
      </c>
    </row>
    <row r="69" customFormat="false" ht="15" hidden="false" customHeight="false" outlineLevel="0" collapsed="false">
      <c r="A69" s="0" t="s">
        <v>135</v>
      </c>
    </row>
    <row r="70" customFormat="false" ht="15" hidden="false" customHeight="false" outlineLevel="0" collapsed="false">
      <c r="A70" s="0" t="s">
        <v>136</v>
      </c>
    </row>
    <row r="71" customFormat="false" ht="15" hidden="false" customHeight="false" outlineLevel="0" collapsed="false">
      <c r="A71" s="0" t="s">
        <v>138</v>
      </c>
    </row>
    <row r="72" customFormat="false" ht="15" hidden="false" customHeight="false" outlineLevel="0" collapsed="false">
      <c r="A72" s="0" t="s">
        <v>139</v>
      </c>
    </row>
    <row r="73" customFormat="false" ht="15" hidden="false" customHeight="false" outlineLevel="0" collapsed="false">
      <c r="A73" s="0" t="s">
        <v>141</v>
      </c>
    </row>
    <row r="74" customFormat="false" ht="15" hidden="false" customHeight="false" outlineLevel="0" collapsed="false">
      <c r="A74" s="0" t="s">
        <v>144</v>
      </c>
    </row>
    <row r="75" customFormat="false" ht="15" hidden="false" customHeight="false" outlineLevel="0" collapsed="false">
      <c r="A75" s="0" t="s">
        <v>145</v>
      </c>
    </row>
    <row r="76" customFormat="false" ht="15" hidden="false" customHeight="false" outlineLevel="0" collapsed="false">
      <c r="A76" s="0" t="s">
        <v>147</v>
      </c>
    </row>
    <row r="77" customFormat="false" ht="15" hidden="false" customHeight="false" outlineLevel="0" collapsed="false">
      <c r="A77" s="0" t="s">
        <v>149</v>
      </c>
    </row>
    <row r="78" customFormat="false" ht="15" hidden="false" customHeight="false" outlineLevel="0" collapsed="false">
      <c r="A78" s="0" t="s">
        <v>150</v>
      </c>
    </row>
    <row r="79" customFormat="false" ht="15" hidden="false" customHeight="false" outlineLevel="0" collapsed="false">
      <c r="A79" s="0" t="s">
        <v>151</v>
      </c>
    </row>
    <row r="80" customFormat="false" ht="15" hidden="false" customHeight="false" outlineLevel="0" collapsed="false">
      <c r="A80" s="0" t="s">
        <v>153</v>
      </c>
    </row>
    <row r="81" customFormat="false" ht="15" hidden="false" customHeight="false" outlineLevel="0" collapsed="false">
      <c r="A81" s="0" t="s">
        <v>154</v>
      </c>
    </row>
    <row r="82" customFormat="false" ht="15" hidden="false" customHeight="false" outlineLevel="0" collapsed="false">
      <c r="A82" s="0" t="s">
        <v>156</v>
      </c>
    </row>
    <row r="83" customFormat="false" ht="15" hidden="false" customHeight="false" outlineLevel="0" collapsed="false">
      <c r="A83" s="0" t="s">
        <v>157</v>
      </c>
    </row>
    <row r="84" customFormat="false" ht="15" hidden="false" customHeight="false" outlineLevel="0" collapsed="false">
      <c r="A84" s="0" t="s">
        <v>158</v>
      </c>
    </row>
    <row r="85" customFormat="false" ht="15" hidden="false" customHeight="false" outlineLevel="0" collapsed="false">
      <c r="A85" s="0" t="s">
        <v>160</v>
      </c>
    </row>
    <row r="86" customFormat="false" ht="15" hidden="false" customHeight="false" outlineLevel="0" collapsed="false">
      <c r="A86" s="0" t="s">
        <v>162</v>
      </c>
    </row>
    <row r="87" customFormat="false" ht="15" hidden="false" customHeight="false" outlineLevel="0" collapsed="false">
      <c r="A87" s="0" t="s">
        <v>164</v>
      </c>
    </row>
    <row r="88" customFormat="false" ht="15" hidden="false" customHeight="false" outlineLevel="0" collapsed="false">
      <c r="A88" s="0" t="s">
        <v>165</v>
      </c>
    </row>
    <row r="89" customFormat="false" ht="15" hidden="false" customHeight="false" outlineLevel="0" collapsed="false">
      <c r="A89" s="0" t="s">
        <v>168</v>
      </c>
    </row>
    <row r="90" customFormat="false" ht="15" hidden="false" customHeight="false" outlineLevel="0" collapsed="false">
      <c r="A90" s="0" t="s">
        <v>171</v>
      </c>
    </row>
    <row r="91" customFormat="false" ht="15" hidden="false" customHeight="false" outlineLevel="0" collapsed="false">
      <c r="A91" s="0" t="s">
        <v>173</v>
      </c>
    </row>
    <row r="92" customFormat="false" ht="15" hidden="false" customHeight="false" outlineLevel="0" collapsed="false">
      <c r="A92" s="0" t="s">
        <v>175</v>
      </c>
    </row>
    <row r="93" customFormat="false" ht="15" hidden="false" customHeight="false" outlineLevel="0" collapsed="false">
      <c r="A93" s="0" t="s">
        <v>176</v>
      </c>
    </row>
    <row r="94" customFormat="false" ht="15" hidden="false" customHeight="false" outlineLevel="0" collapsed="false">
      <c r="A94" s="0" t="s">
        <v>178</v>
      </c>
    </row>
    <row r="95" customFormat="false" ht="15" hidden="false" customHeight="false" outlineLevel="0" collapsed="false">
      <c r="A95" s="0" t="s">
        <v>180</v>
      </c>
    </row>
    <row r="96" customFormat="false" ht="15" hidden="false" customHeight="false" outlineLevel="0" collapsed="false">
      <c r="A96" s="0" t="s">
        <v>181</v>
      </c>
    </row>
    <row r="97" customFormat="false" ht="15" hidden="false" customHeight="false" outlineLevel="0" collapsed="false">
      <c r="A97" s="0" t="s">
        <v>183</v>
      </c>
    </row>
    <row r="98" customFormat="false" ht="15" hidden="false" customHeight="false" outlineLevel="0" collapsed="false">
      <c r="A98" s="0" t="s">
        <v>184</v>
      </c>
    </row>
    <row r="99" customFormat="false" ht="15" hidden="false" customHeight="false" outlineLevel="0" collapsed="false">
      <c r="A99" s="0" t="s">
        <v>186</v>
      </c>
    </row>
    <row r="100" customFormat="false" ht="15" hidden="false" customHeight="false" outlineLevel="0" collapsed="false">
      <c r="A100" s="0" t="s">
        <v>188</v>
      </c>
    </row>
    <row r="101" customFormat="false" ht="15" hidden="false" customHeight="false" outlineLevel="0" collapsed="false">
      <c r="A101" s="0" t="s">
        <v>189</v>
      </c>
    </row>
    <row r="102" customFormat="false" ht="15" hidden="false" customHeight="false" outlineLevel="0" collapsed="false">
      <c r="A102" s="0" t="s">
        <v>191</v>
      </c>
    </row>
    <row r="103" customFormat="false" ht="15" hidden="false" customHeight="false" outlineLevel="0" collapsed="false">
      <c r="A103" s="0" t="s">
        <v>194</v>
      </c>
    </row>
    <row r="104" customFormat="false" ht="15" hidden="false" customHeight="false" outlineLevel="0" collapsed="false">
      <c r="A104" s="0" t="s">
        <v>197</v>
      </c>
    </row>
    <row r="105" customFormat="false" ht="15" hidden="false" customHeight="false" outlineLevel="0" collapsed="false">
      <c r="A105" s="0" t="s">
        <v>199</v>
      </c>
    </row>
    <row r="106" customFormat="false" ht="15" hidden="false" customHeight="false" outlineLevel="0" collapsed="false">
      <c r="A106" s="0" t="s">
        <v>200</v>
      </c>
    </row>
    <row r="107" customFormat="false" ht="15" hidden="false" customHeight="false" outlineLevel="0" collapsed="false">
      <c r="A107" s="0" t="s">
        <v>202</v>
      </c>
    </row>
    <row r="108" customFormat="false" ht="15" hidden="false" customHeight="false" outlineLevel="0" collapsed="false">
      <c r="A108" s="0" t="s">
        <v>204</v>
      </c>
    </row>
    <row r="109" customFormat="false" ht="15" hidden="false" customHeight="false" outlineLevel="0" collapsed="false">
      <c r="A109" s="0" t="s">
        <v>206</v>
      </c>
    </row>
    <row r="110" customFormat="false" ht="15" hidden="false" customHeight="false" outlineLevel="0" collapsed="false">
      <c r="A110" s="0" t="s">
        <v>207</v>
      </c>
    </row>
    <row r="111" customFormat="false" ht="15" hidden="false" customHeight="false" outlineLevel="0" collapsed="false">
      <c r="A111" s="0" t="s">
        <v>208</v>
      </c>
    </row>
    <row r="112" customFormat="false" ht="15" hidden="false" customHeight="false" outlineLevel="0" collapsed="false">
      <c r="A112" s="0" t="s">
        <v>210</v>
      </c>
    </row>
    <row r="113" customFormat="false" ht="15" hidden="false" customHeight="false" outlineLevel="0" collapsed="false">
      <c r="A113" s="0" t="s">
        <v>212</v>
      </c>
    </row>
    <row r="114" customFormat="false" ht="15" hidden="false" customHeight="false" outlineLevel="0" collapsed="false">
      <c r="A114" s="0" t="s">
        <v>214</v>
      </c>
    </row>
    <row r="115" customFormat="false" ht="15" hidden="false" customHeight="false" outlineLevel="0" collapsed="false">
      <c r="A115" s="0" t="s">
        <v>216</v>
      </c>
    </row>
    <row r="116" customFormat="false" ht="15" hidden="false" customHeight="false" outlineLevel="0" collapsed="false">
      <c r="A116" s="0" t="s">
        <v>219</v>
      </c>
    </row>
    <row r="117" customFormat="false" ht="15" hidden="false" customHeight="false" outlineLevel="0" collapsed="false">
      <c r="A117" s="0" t="s">
        <v>221</v>
      </c>
    </row>
    <row r="118" customFormat="false" ht="15" hidden="false" customHeight="false" outlineLevel="0" collapsed="false">
      <c r="A118" s="0" t="s">
        <v>222</v>
      </c>
    </row>
    <row r="119" customFormat="false" ht="15" hidden="false" customHeight="false" outlineLevel="0" collapsed="false">
      <c r="A119" s="0" t="s">
        <v>224</v>
      </c>
    </row>
    <row r="120" customFormat="false" ht="15" hidden="false" customHeight="false" outlineLevel="0" collapsed="false">
      <c r="A120" s="0" t="s">
        <v>225</v>
      </c>
    </row>
    <row r="121" customFormat="false" ht="15" hidden="false" customHeight="false" outlineLevel="0" collapsed="false">
      <c r="A121" s="0" t="s">
        <v>227</v>
      </c>
    </row>
    <row r="122" customFormat="false" ht="15" hidden="false" customHeight="false" outlineLevel="0" collapsed="false">
      <c r="A122" s="0" t="s">
        <v>228</v>
      </c>
    </row>
    <row r="123" customFormat="false" ht="15" hidden="false" customHeight="false" outlineLevel="0" collapsed="false">
      <c r="A123" s="0" t="s">
        <v>230</v>
      </c>
    </row>
    <row r="124" customFormat="false" ht="15" hidden="false" customHeight="false" outlineLevel="0" collapsed="false">
      <c r="A124" s="0" t="s">
        <v>233</v>
      </c>
    </row>
    <row r="125" customFormat="false" ht="15" hidden="false" customHeight="false" outlineLevel="0" collapsed="false">
      <c r="A125" s="0" t="s">
        <v>235</v>
      </c>
    </row>
    <row r="126" customFormat="false" ht="15" hidden="false" customHeight="false" outlineLevel="0" collapsed="false">
      <c r="A126" s="0" t="s">
        <v>236</v>
      </c>
    </row>
    <row r="127" customFormat="false" ht="15" hidden="false" customHeight="false" outlineLevel="0" collapsed="false">
      <c r="A127" s="0" t="s">
        <v>237</v>
      </c>
    </row>
    <row r="128" customFormat="false" ht="15" hidden="false" customHeight="false" outlineLevel="0" collapsed="false">
      <c r="A128" s="0" t="s">
        <v>238</v>
      </c>
    </row>
    <row r="129" customFormat="false" ht="15" hidden="false" customHeight="false" outlineLevel="0" collapsed="false">
      <c r="A129" s="0" t="s">
        <v>240</v>
      </c>
    </row>
    <row r="130" customFormat="false" ht="15" hidden="false" customHeight="false" outlineLevel="0" collapsed="false">
      <c r="A130" s="0" t="s">
        <v>241</v>
      </c>
    </row>
    <row r="131" customFormat="false" ht="15" hidden="false" customHeight="false" outlineLevel="0" collapsed="false">
      <c r="A131" s="0" t="s">
        <v>243</v>
      </c>
    </row>
    <row r="132" customFormat="false" ht="15" hidden="false" customHeight="false" outlineLevel="0" collapsed="false">
      <c r="A132" s="0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2026-03-10T20:41:46Z</dcterms:created>
  <dc:creator>openpyxl</dc:creator>
  <dc:description/>
  <dc:language>en-US</dc:language>
  <cp:lastModifiedBy/>
  <dcterms:modified xsi:type="dcterms:W3CDTF">2026-03-10T20:52:35Z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